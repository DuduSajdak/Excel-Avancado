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luno\Desktop\Gerência\"/>
    </mc:Choice>
  </mc:AlternateContent>
  <xr:revisionPtr revIDLastSave="0" documentId="13_ncr:1_{04443A6C-E97B-41D5-A118-1D9C2D884EA0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  <sheet name="Plan2" sheetId="2" r:id="rId2"/>
    <sheet name="Plan3" sheetId="3" r:id="rId3"/>
  </sheets>
  <externalReferences>
    <externalReference r:id="rId4"/>
    <externalReference r:id="rId5"/>
    <externalReference r:id="rId6"/>
  </externalReferences>
  <calcPr calcId="191029"/>
</workbook>
</file>

<file path=xl/calcChain.xml><?xml version="1.0" encoding="utf-8"?>
<calcChain xmlns="http://schemas.openxmlformats.org/spreadsheetml/2006/main">
  <c r="F12" i="1" l="1"/>
  <c r="E12" i="1"/>
  <c r="D12" i="1"/>
  <c r="F11" i="1" l="1"/>
  <c r="E11" i="1"/>
  <c r="D11" i="1"/>
  <c r="F10" i="1" l="1"/>
  <c r="E10" i="1"/>
  <c r="D10" i="1" l="1"/>
</calcChain>
</file>

<file path=xl/sharedStrings.xml><?xml version="1.0" encoding="utf-8"?>
<sst xmlns="http://schemas.openxmlformats.org/spreadsheetml/2006/main" count="9" uniqueCount="9">
  <si>
    <t>Opções:</t>
  </si>
  <si>
    <t>Unidade</t>
  </si>
  <si>
    <t>Receita</t>
  </si>
  <si>
    <t>Despesa</t>
  </si>
  <si>
    <t>Resultado</t>
  </si>
  <si>
    <t>Totalizações:</t>
  </si>
  <si>
    <t>SP</t>
  </si>
  <si>
    <t>PR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</si>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</sst>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7" x14ac:knownFonts="1">
    <font>
      <sz val="10"/>
      <name val="Arial"/>
    </font>
    <font>
      <sz val="8"/>
      <name val="Arial"/>
      <family val="2"/>
    </font>
    <font>
      <sz val="10"/>
      <color indexed="9"/>
      <name val="Verdana"/>
      <family val="2"/>
    </font>
    <font>
      <u/>
      <sz val="10"/>
      <name val="Arial"/>
      <family val="2"/>
    </font>
    <font>
      <sz val="10"/>
      <color indexed="2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4" borderId="0" xfId="0" applyFill="1"/>
    <xf numFmtId="0" fontId="0" fillId="5" borderId="0" xfId="0" applyFill="1"/>
    <xf numFmtId="0" fontId="6" fillId="4" borderId="0" xfId="0" applyFont="1" applyFill="1"/>
    <xf numFmtId="0" fontId="6" fillId="5" borderId="0" xfId="0" applyFont="1" applyFill="1"/>
    <xf numFmtId="39" fontId="0" fillId="4" borderId="0" xfId="0" applyNumberFormat="1" applyFill="1"/>
    <xf numFmtId="164" fontId="0" fillId="4" borderId="0" xfId="0" applyNumberFormat="1" applyFill="1"/>
    <xf numFmtId="39" fontId="0" fillId="6" borderId="0" xfId="0" applyNumberFormat="1" applyFill="1"/>
    <xf numFmtId="164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ResumoMG.xlsx" TargetMode="External"/><Relationship Id="rId2" Type="http://schemas.openxmlformats.org/officeDocument/2006/relationships/hyperlink" Target="ResumoSP.xlsx" TargetMode="External"/><Relationship Id="rId1" Type="http://schemas.openxmlformats.org/officeDocument/2006/relationships/hyperlink" Target="ResumoPR.xlsx" TargetMode="External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4</xdr:row>
      <xdr:rowOff>114300</xdr:rowOff>
    </xdr:from>
    <xdr:to>
      <xdr:col>9</xdr:col>
      <xdr:colOff>514350</xdr:colOff>
      <xdr:row>27</xdr:row>
      <xdr:rowOff>142875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rrowheads="1"/>
        </xdr:cNvSpPr>
      </xdr:nvSpPr>
      <xdr:spPr bwMode="auto">
        <a:xfrm>
          <a:off x="571500" y="762000"/>
          <a:ext cx="5429250" cy="3752850"/>
        </a:xfrm>
        <a:prstGeom prst="rect">
          <a:avLst/>
        </a:prstGeom>
        <a:noFill/>
        <a:ln w="19050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333375</xdr:colOff>
      <xdr:row>1</xdr:row>
      <xdr:rowOff>142875</xdr:rowOff>
    </xdr:from>
    <xdr:to>
      <xdr:col>8</xdr:col>
      <xdr:colOff>38100</xdr:colOff>
      <xdr:row>3</xdr:row>
      <xdr:rowOff>95250</xdr:rowOff>
    </xdr:to>
    <xdr:sp macro="" textlink="$C$30">
      <xdr:nvSpPr>
        <xdr:cNvPr id="1025" name="Word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552575" y="304800"/>
          <a:ext cx="3362325" cy="276225"/>
        </a:xfrm>
        <a:prstGeom prst="rect">
          <a:avLst/>
        </a:prstGeom>
      </xdr:spPr>
      <xdr:txBody>
        <a:bodyPr vertOverflow="clip" wrap="none" lIns="18288" tIns="0" rIns="0" bIns="0" fromWordArt="1" anchor="t" upright="1">
          <a:prstTxWarp prst="textPlain">
            <a:avLst>
              <a:gd name="adj" fmla="val 50000"/>
            </a:avLst>
          </a:prstTxWarp>
        </a:bodyPr>
        <a:lstStyle/>
        <a:p>
          <a:pPr algn="ctr" rtl="0"/>
          <a:fld id="{08AE7E23-FA61-4EA0-848E-8F38F4396850}" type="TxLink">
            <a:rPr lang="pt-BR" sz="1800" kern="10" spc="0">
              <a:ln w="19050">
                <a:solidFill>
                  <a:srgbClr val="FFFFFF"/>
                </a:solidFill>
                <a:round/>
                <a:headEnd/>
                <a:tailEnd/>
              </a:ln>
              <a:noFill/>
              <a:effectLst/>
              <a:latin typeface="Verdana"/>
              <a:ea typeface="Verdana"/>
              <a:cs typeface="Verdana"/>
            </a:rPr>
            <a:pPr algn="ctr" rtl="0"/>
            <a:t> </a:t>
          </a:fld>
          <a:endParaRPr lang="pt-BR" sz="1800" kern="10" spc="0">
            <a:ln w="19050">
              <a:solidFill>
                <a:srgbClr val="FFFFFF"/>
              </a:solidFill>
              <a:round/>
              <a:headEnd/>
              <a:tailEnd/>
            </a:ln>
            <a:noFill/>
            <a:effectLst/>
            <a:latin typeface="Verdana"/>
            <a:ea typeface="Verdana"/>
            <a:cs typeface="Verdana"/>
          </a:endParaRPr>
        </a:p>
      </xdr:txBody>
    </xdr:sp>
    <xdr:clientData/>
  </xdr:twoCellAnchor>
  <xdr:oneCellAnchor>
    <xdr:from>
      <xdr:col>1</xdr:col>
      <xdr:colOff>590550</xdr:colOff>
      <xdr:row>19</xdr:row>
      <xdr:rowOff>9525</xdr:rowOff>
    </xdr:from>
    <xdr:ext cx="2476500" cy="371475"/>
    <xdr:sp macro="" textlink="">
      <xdr:nvSpPr>
        <xdr:cNvPr id="1029" name="Text 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1200150" y="3086100"/>
          <a:ext cx="2476500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pt-BR" sz="2000" b="1" i="0" u="none" strike="noStrike" baseline="0">
              <a:solidFill>
                <a:srgbClr val="FFCC00"/>
              </a:solidFill>
              <a:latin typeface="Arial"/>
              <a:cs typeface="Arial"/>
            </a:rPr>
            <a:t>Unidade 2 - Paraná</a:t>
          </a:r>
        </a:p>
      </xdr:txBody>
    </xdr:sp>
    <xdr:clientData/>
  </xdr:oneCellAnchor>
  <xdr:oneCellAnchor>
    <xdr:from>
      <xdr:col>1</xdr:col>
      <xdr:colOff>590550</xdr:colOff>
      <xdr:row>16</xdr:row>
      <xdr:rowOff>152400</xdr:rowOff>
    </xdr:from>
    <xdr:ext cx="2876550" cy="371475"/>
    <xdr:sp macro="" textlink="">
      <xdr:nvSpPr>
        <xdr:cNvPr id="1030" name="Text 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1200150" y="2743200"/>
          <a:ext cx="2876550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pt-BR" sz="2000" b="1" i="0" u="none" strike="noStrike" baseline="0">
              <a:solidFill>
                <a:srgbClr val="FFCC00"/>
              </a:solidFill>
              <a:latin typeface="Arial"/>
              <a:cs typeface="Arial"/>
            </a:rPr>
            <a:t>Unidade 1 - São Paulo</a:t>
          </a:r>
        </a:p>
      </xdr:txBody>
    </xdr:sp>
    <xdr:clientData/>
  </xdr:oneCellAnchor>
  <xdr:oneCellAnchor>
    <xdr:from>
      <xdr:col>1</xdr:col>
      <xdr:colOff>600075</xdr:colOff>
      <xdr:row>21</xdr:row>
      <xdr:rowOff>38100</xdr:rowOff>
    </xdr:from>
    <xdr:ext cx="3219450" cy="371475"/>
    <xdr:sp macro="" textlink="">
      <xdr:nvSpPr>
        <xdr:cNvPr id="1031" name="Text 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1209675" y="3438525"/>
          <a:ext cx="3219450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pt-BR" sz="2000" b="1" i="0" u="none" strike="noStrike" baseline="0">
              <a:solidFill>
                <a:srgbClr val="FFCC00"/>
              </a:solidFill>
              <a:latin typeface="Arial"/>
              <a:cs typeface="Arial"/>
            </a:rPr>
            <a:t>Unidade 3 - Minas Gerais</a:t>
          </a:r>
        </a:p>
      </xdr:txBody>
    </xdr:sp>
    <xdr:clientData/>
  </xdr:oneCellAnchor>
  <xdr:twoCellAnchor>
    <xdr:from>
      <xdr:col>0</xdr:col>
      <xdr:colOff>571500</xdr:colOff>
      <xdr:row>2</xdr:row>
      <xdr:rowOff>19050</xdr:rowOff>
    </xdr:from>
    <xdr:to>
      <xdr:col>9</xdr:col>
      <xdr:colOff>495300</xdr:colOff>
      <xdr:row>4</xdr:row>
      <xdr:rowOff>38100</xdr:rowOff>
    </xdr:to>
    <xdr:sp macro="" textlink="">
      <xdr:nvSpPr>
        <xdr:cNvPr id="1032" name="WordArt 8" descr="Pergaminho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571500" y="342900"/>
          <a:ext cx="5410200" cy="3429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28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blipFill dpi="0" rotWithShape="1">
                <a:blip xmlns:r="http://schemas.openxmlformats.org/officeDocument/2006/relationships" r:embed="rId4"/>
                <a:srcRect/>
                <a:tile tx="0" ty="0" sx="100000" sy="100000" flip="none" algn="tl"/>
              </a:blipFill>
              <a:effectLst/>
              <a:latin typeface="Verdana"/>
              <a:ea typeface="Verdana"/>
              <a:cs typeface="Verdana"/>
            </a:rPr>
            <a:t>Planilha de Gerenciamento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uno\Desktop\Ger&#234;ncia\ResumoSP.xlsx" TargetMode="External"/><Relationship Id="rId1" Type="http://schemas.openxmlformats.org/officeDocument/2006/relationships/externalLinkPath" Target="ResumoS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uno\Desktop\Ger&#234;ncia\ResumoPR.xlsx" TargetMode="External"/><Relationship Id="rId1" Type="http://schemas.openxmlformats.org/officeDocument/2006/relationships/externalLinkPath" Target="ResumoP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uno\Desktop\Ger&#234;ncia\ResumoMG.xlsx" TargetMode="External"/><Relationship Id="rId1" Type="http://schemas.openxmlformats.org/officeDocument/2006/relationships/externalLinkPath" Target="ResumoM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2014"/>
      <sheetName val="Janeiro"/>
      <sheetName val="Fevereiro"/>
      <sheetName val="Março"/>
      <sheetName val="Abril"/>
    </sheetNames>
    <sheetDataSet>
      <sheetData sheetId="0">
        <row r="15">
          <cell r="C15">
            <v>5430</v>
          </cell>
          <cell r="D15">
            <v>5010</v>
          </cell>
          <cell r="E15">
            <v>5330</v>
          </cell>
          <cell r="F15">
            <v>5250</v>
          </cell>
        </row>
        <row r="16">
          <cell r="C16">
            <v>5369</v>
          </cell>
          <cell r="D16">
            <v>4999</v>
          </cell>
          <cell r="E16">
            <v>4740</v>
          </cell>
          <cell r="F16">
            <v>5544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2014"/>
      <sheetName val="Janeiro"/>
      <sheetName val="Fevereiro"/>
      <sheetName val="Março"/>
      <sheetName val="Abril"/>
    </sheetNames>
    <sheetDataSet>
      <sheetData sheetId="0">
        <row r="15">
          <cell r="C15">
            <v>9420</v>
          </cell>
          <cell r="D15">
            <v>8900</v>
          </cell>
          <cell r="E15">
            <v>9420</v>
          </cell>
          <cell r="F15">
            <v>7420</v>
          </cell>
        </row>
        <row r="16">
          <cell r="C16">
            <v>5760</v>
          </cell>
          <cell r="D16">
            <v>5470</v>
          </cell>
          <cell r="E16">
            <v>5810</v>
          </cell>
          <cell r="F16">
            <v>5470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2014"/>
      <sheetName val="Janeiro"/>
      <sheetName val="Fevereiro"/>
      <sheetName val="Março"/>
      <sheetName val="Abril"/>
    </sheetNames>
    <sheetDataSet>
      <sheetData sheetId="0">
        <row r="15">
          <cell r="C15">
            <v>9220</v>
          </cell>
          <cell r="D15">
            <v>7450</v>
          </cell>
          <cell r="E15">
            <v>8090</v>
          </cell>
          <cell r="F15">
            <v>5280</v>
          </cell>
        </row>
        <row r="16">
          <cell r="C16">
            <v>6040</v>
          </cell>
          <cell r="D16">
            <v>5740</v>
          </cell>
          <cell r="E16">
            <v>5600</v>
          </cell>
          <cell r="F16">
            <v>5910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L30"/>
  <sheetViews>
    <sheetView tabSelected="1" workbookViewId="0">
      <selection activeCell="F13" sqref="F13"/>
    </sheetView>
  </sheetViews>
  <sheetFormatPr defaultRowHeight="12.75" x14ac:dyDescent="0.2"/>
  <cols>
    <col min="1" max="5" width="9.140625" style="3"/>
    <col min="6" max="6" width="9.7109375" style="3" bestFit="1" customWidth="1"/>
    <col min="7" max="16384" width="9.140625" style="3"/>
  </cols>
  <sheetData>
    <row r="6" spans="2:8" x14ac:dyDescent="0.2">
      <c r="B6" s="2" t="s">
        <v>5</v>
      </c>
    </row>
    <row r="9" spans="2:8" x14ac:dyDescent="0.2">
      <c r="C9" s="1" t="s">
        <v>1</v>
      </c>
      <c r="D9" s="1" t="s">
        <v>2</v>
      </c>
      <c r="E9" s="1" t="s">
        <v>3</v>
      </c>
      <c r="F9" s="1" t="s">
        <v>4</v>
      </c>
      <c r="G9" s="1"/>
      <c r="H9" s="1"/>
    </row>
    <row r="10" spans="2:8" x14ac:dyDescent="0.2">
      <c r="C10" s="9" t="s">
        <v>6</v>
      </c>
      <c r="D10" s="11">
        <f>SUM([1]Resumo2014!$C$15:$F$15)</f>
        <v>21020</v>
      </c>
      <c r="E10" s="11">
        <f>SUM([1]Resumo2014!$C$16:$F$16)</f>
        <v>20652</v>
      </c>
      <c r="F10" s="12">
        <f>D10-E10</f>
        <v>368</v>
      </c>
      <c r="G10" s="7"/>
      <c r="H10" s="7"/>
    </row>
    <row r="11" spans="2:8" x14ac:dyDescent="0.2">
      <c r="C11" s="10" t="s">
        <v>7</v>
      </c>
      <c r="D11" s="13">
        <f>SUM([2]Resumo2014!$C$15:$F$15)</f>
        <v>35160</v>
      </c>
      <c r="E11" s="13">
        <f>SUM([2]Resumo2014!$C$16:$F$16)</f>
        <v>22510</v>
      </c>
      <c r="F11" s="14">
        <f>D11-E11</f>
        <v>12650</v>
      </c>
      <c r="G11" s="8"/>
      <c r="H11" s="8"/>
    </row>
    <row r="12" spans="2:8" x14ac:dyDescent="0.2">
      <c r="C12" s="9" t="s">
        <v>8</v>
      </c>
      <c r="D12" s="11">
        <f>SUM([3]Resumo2014!$C$15:$F$15)</f>
        <v>30040</v>
      </c>
      <c r="E12" s="11">
        <f>SUM([3]Resumo2014!$C$16:$F$16)</f>
        <v>23290</v>
      </c>
      <c r="F12" s="12">
        <f>D12-E12</f>
        <v>6750</v>
      </c>
      <c r="G12" s="7"/>
      <c r="H12" s="7"/>
    </row>
    <row r="16" spans="2:8" x14ac:dyDescent="0.2">
      <c r="B16" s="2" t="s">
        <v>0</v>
      </c>
    </row>
    <row r="18" spans="2:12" x14ac:dyDescent="0.2">
      <c r="H18" s="4"/>
    </row>
    <row r="22" spans="2:12" x14ac:dyDescent="0.2">
      <c r="K22" s="5"/>
      <c r="L22" s="5"/>
    </row>
    <row r="23" spans="2:12" x14ac:dyDescent="0.2">
      <c r="L23" s="5"/>
    </row>
    <row r="24" spans="2:12" x14ac:dyDescent="0.2">
      <c r="K24" s="5"/>
      <c r="L24" s="5"/>
    </row>
    <row r="25" spans="2:12" x14ac:dyDescent="0.2">
      <c r="K25" s="5"/>
    </row>
    <row r="29" spans="2:12" x14ac:dyDescent="0.2">
      <c r="B29" s="6"/>
    </row>
    <row r="30" spans="2:12" x14ac:dyDescent="0.2">
      <c r="B30" s="6"/>
    </row>
  </sheetData>
  <phoneticPr fontId="1" type="noConversion"/>
  <pageMargins left="0.78740157499999996" right="0.78740157499999996" top="0.984251969" bottom="0.984251969" header="0.49212598499999999" footer="0.49212598499999999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2.75" x14ac:dyDescent="0.2"/>
  <sheetData/>
  <phoneticPr fontId="1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2.75" x14ac:dyDescent="0.2"/>
  <sheetData/>
  <phoneticPr fontId="1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CGD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</dc:creator>
  <cp:lastModifiedBy>Aluno</cp:lastModifiedBy>
  <dcterms:created xsi:type="dcterms:W3CDTF">2005-05-05T17:51:33Z</dcterms:created>
  <dcterms:modified xsi:type="dcterms:W3CDTF">2023-09-13T17:04:23Z</dcterms:modified>
</cp:coreProperties>
</file>