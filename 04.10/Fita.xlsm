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Z:\CGD\Excel Avançado\04.10\"/>
    </mc:Choice>
  </mc:AlternateContent>
  <xr:revisionPtr revIDLastSave="0" documentId="13_ncr:1_{7305D2D8-1182-4170-AA64-0959EB7B45BD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Plan1" sheetId="1" r:id="rId1"/>
    <sheet name="Plan2" sheetId="2" r:id="rId2"/>
    <sheet name="Plan3" sheetId="3" r:id="rId3"/>
  </sheets>
  <definedNames>
    <definedName name="solver_adj" localSheetId="0" hidden="1">Plan1!$E$3:$E$17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60</definedName>
    <definedName name="solver_lhs1" localSheetId="0" hidden="1">Plan1!$E$3:$E$17</definedName>
    <definedName name="solver_lhs10" localSheetId="0" hidden="1">Plan1!$G$18</definedName>
    <definedName name="solver_lhs11" localSheetId="0" hidden="1">Plan1!$E$14</definedName>
    <definedName name="solver_lhs12" localSheetId="0" hidden="1">Plan1!$E$15</definedName>
    <definedName name="solver_lhs2" localSheetId="0" hidden="1">Plan1!$G$18</definedName>
    <definedName name="solver_lhs3" localSheetId="0" hidden="1">Plan1!$E$4</definedName>
    <definedName name="solver_lhs4" localSheetId="0" hidden="1">Plan1!$E$6</definedName>
    <definedName name="solver_lhs5" localSheetId="0" hidden="1">Plan1!$E$7</definedName>
    <definedName name="solver_lhs6" localSheetId="0" hidden="1">Plan1!$E$14</definedName>
    <definedName name="solver_lhs7" localSheetId="0" hidden="1">Plan1!$E$16</definedName>
    <definedName name="solver_lhs8" localSheetId="0" hidden="1">Plan1!$E$10</definedName>
    <definedName name="solver_lhs9" localSheetId="0" hidden="1">Plan1!$E$12</definedName>
    <definedName name="solver_lin" localSheetId="0" hidden="1">1</definedName>
    <definedName name="solver_neg" localSheetId="0" hidden="1">2</definedName>
    <definedName name="solver_num" localSheetId="0" hidden="1">9</definedName>
    <definedName name="solver_nwt" localSheetId="0" hidden="1">1</definedName>
    <definedName name="solver_opt" localSheetId="0" hidden="1">Plan1!$G$18</definedName>
    <definedName name="solver_pre" localSheetId="0" hidden="1">0.001</definedName>
    <definedName name="solver_rel1" localSheetId="0" hidden="1">5</definedName>
    <definedName name="solver_rel10" localSheetId="0" hidden="1">1</definedName>
    <definedName name="solver_rel11" localSheetId="0" hidden="1">2</definedName>
    <definedName name="solver_rel12" localSheetId="0" hidden="1">2</definedName>
    <definedName name="solver_rel2" localSheetId="0" hidden="1">1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0" hidden="1">"binário"</definedName>
    <definedName name="solver_rhs10" localSheetId="0" hidden="1">Plan1!$R$2</definedName>
    <definedName name="solver_rhs11" localSheetId="0" hidden="1">Plan1!$A$23</definedName>
    <definedName name="solver_rhs12" localSheetId="0" hidden="1">Plan1!$A$23</definedName>
    <definedName name="solver_rhs2" localSheetId="0" hidden="1">Plan1!$R$2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Plan1!$A$23</definedName>
    <definedName name="solver_rhs9" localSheetId="0" hidden="1">Plan1!$A$23</definedName>
    <definedName name="solver_scl" localSheetId="0" hidden="1">0</definedName>
    <definedName name="solver_sho" localSheetId="0" hidden="1">2</definedName>
    <definedName name="solver_tim" localSheetId="0" hidden="1">15</definedName>
    <definedName name="solver_tol" localSheetId="0" hidden="1">0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3" i="1"/>
  <c r="F18" i="1" l="1"/>
  <c r="G18" i="1"/>
  <c r="C1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Paulo</author>
  </authors>
  <commentList>
    <comment ref="O2" authorId="0" shapeId="0" xr:uid="{00000000-0006-0000-0000-000001000000}">
      <text>
        <r>
          <rPr>
            <sz val="9"/>
            <color indexed="81"/>
            <rFont val="Tahoma"/>
            <family val="2"/>
          </rPr>
          <t>Tempo limite do Lado A</t>
        </r>
      </text>
    </comment>
    <comment ref="R2" authorId="0" shapeId="0" xr:uid="{00000000-0006-0000-0000-000002000000}">
      <text>
        <r>
          <rPr>
            <sz val="9"/>
            <color indexed="81"/>
            <rFont val="Tahoma"/>
            <family val="2"/>
          </rPr>
          <t>Tempo limite do Lado B</t>
        </r>
      </text>
    </comment>
    <comment ref="O15" authorId="0" shapeId="0" xr:uid="{00000000-0006-0000-0000-000003000000}">
      <text>
        <r>
          <rPr>
            <sz val="9"/>
            <color indexed="81"/>
            <rFont val="Tahoma"/>
            <family val="2"/>
          </rPr>
          <t>O tempo máximo (em segundos) que o Microsoft Excel despenderá ao resolver um problema. O valor precisa ser um inteiro positivo. O valor padrão de 100 é adequado para a maioria dos problemas pequenos, mas você pode inserir um valor de até 32.767.</t>
        </r>
      </text>
    </comment>
    <comment ref="O16" authorId="0" shapeId="0" xr:uid="{00000000-0006-0000-0000-000004000000}">
      <text>
        <r>
          <rPr>
            <sz val="9"/>
            <color indexed="81"/>
            <rFont val="Tahoma"/>
            <family val="2"/>
          </rPr>
          <t>O número máximo de iterações que o Microsoft Excel usará ao resolver um problema. O valor precisa ser um inteiro positivo. O valor padrão de 100 é adequado para a maioria dos problemas pequenos, mas você pode inserir um valor de até 32.767.</t>
        </r>
      </text>
    </comment>
    <comment ref="O17" authorId="0" shapeId="0" xr:uid="{00000000-0006-0000-0000-000005000000}">
      <text>
        <r>
          <rPr>
            <sz val="9"/>
            <color indexed="81"/>
            <rFont val="Tahoma"/>
            <family val="2"/>
          </rPr>
          <t>Um número entre 0 (zero) e 1 especificando o grau de precisão a ser usado ao resolver o problema. A precisão padrão é 0,000001. Um pequeno número de casas decimais (por exemplo, 0,0001) indica um menor grau de precisão. Em geral, quanto maior o grau de precisão especificado por você (quanto menor o número), mais tempo o Solver irá levar para chegar às soluções.</t>
        </r>
      </text>
    </comment>
    <comment ref="O18" authorId="0" shapeId="0" xr:uid="{00000000-0006-0000-0000-000006000000}">
      <text>
        <r>
          <rPr>
            <sz val="9"/>
            <color indexed="81"/>
            <rFont val="Tahoma"/>
            <family val="2"/>
          </rPr>
          <t xml:space="preserve">Um número decimal entre 0 (zero) e 1 especificando o grau de tolerância de inteiro. Esse argumento só se aplica se restrições de inteiro tiverem sido definidas. Você pode ajustar o valor de tolerância, o qual representa a porcentagem de erro permitida na solução otimizada quando uma restrição de inteiro é usada em qualquer elemento do problema. Um grau mais alto de tolerância (porcentagem admissível de erro) tenderia a acelerar o processo de solução.
</t>
        </r>
      </text>
    </comment>
  </commentList>
</comments>
</file>

<file path=xl/sharedStrings.xml><?xml version="1.0" encoding="utf-8"?>
<sst xmlns="http://schemas.openxmlformats.org/spreadsheetml/2006/main" count="75" uniqueCount="31">
  <si>
    <t>Música</t>
  </si>
  <si>
    <t>Tempo</t>
  </si>
  <si>
    <t>Lado A</t>
  </si>
  <si>
    <t>Lado B</t>
  </si>
  <si>
    <t>Bin A</t>
  </si>
  <si>
    <t>Bin B</t>
  </si>
  <si>
    <t>Calcular:</t>
  </si>
  <si>
    <t xml:space="preserve"> </t>
  </si>
  <si>
    <t>LADO A</t>
  </si>
  <si>
    <t>LADO B</t>
  </si>
  <si>
    <t>Restrições:</t>
  </si>
  <si>
    <t>Precisão:</t>
  </si>
  <si>
    <t>Tolerância:</t>
  </si>
  <si>
    <t>Total: 60 minutos</t>
  </si>
  <si>
    <t>30 minutos por lado</t>
  </si>
  <si>
    <t>Tempo máximo:</t>
  </si>
  <si>
    <t>Iterações:</t>
  </si>
  <si>
    <t>%</t>
  </si>
  <si>
    <t>Música 4</t>
  </si>
  <si>
    <t>Música 5</t>
  </si>
  <si>
    <t>Música 10</t>
  </si>
  <si>
    <t>Música 11</t>
  </si>
  <si>
    <t>Música 13</t>
  </si>
  <si>
    <t>Total:</t>
  </si>
  <si>
    <t>Músicas:</t>
  </si>
  <si>
    <t>Música 2</t>
  </si>
  <si>
    <t>Música 6</t>
  </si>
  <si>
    <t>Música 14</t>
  </si>
  <si>
    <t>Música 15</t>
  </si>
  <si>
    <t>Música 12</t>
  </si>
  <si>
    <t>Música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</si>
</sst>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mm]:ss"/>
    <numFmt numFmtId="165" formatCode="[h]:mm:ss;@"/>
    <numFmt numFmtId="166" formatCode=";;;"/>
    <numFmt numFmtId="168" formatCode="0.0000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i/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3" fillId="0" borderId="0" xfId="0" applyFont="1"/>
    <xf numFmtId="0" fontId="4" fillId="0" borderId="0" xfId="0" applyFont="1"/>
    <xf numFmtId="164" fontId="0" fillId="0" borderId="1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0" fillId="5" borderId="0" xfId="0" applyFill="1"/>
    <xf numFmtId="0" fontId="0" fillId="4" borderId="0" xfId="0" applyFill="1"/>
    <xf numFmtId="0" fontId="0" fillId="4" borderId="2" xfId="0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9" xfId="0" applyFill="1" applyBorder="1"/>
    <xf numFmtId="0" fontId="7" fillId="0" borderId="0" xfId="0" applyFont="1"/>
    <xf numFmtId="0" fontId="8" fillId="2" borderId="0" xfId="0" applyFont="1" applyFill="1"/>
    <xf numFmtId="0" fontId="5" fillId="0" borderId="0" xfId="0" applyFont="1"/>
    <xf numFmtId="166" fontId="0" fillId="0" borderId="0" xfId="0" applyNumberFormat="1"/>
    <xf numFmtId="0" fontId="0" fillId="5" borderId="0" xfId="0" applyFill="1" applyAlignment="1">
      <alignment vertical="center"/>
    </xf>
    <xf numFmtId="0" fontId="0" fillId="0" borderId="0" xfId="0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6" fillId="0" borderId="0" xfId="0" applyFont="1"/>
    <xf numFmtId="0" fontId="0" fillId="4" borderId="4" xfId="0" applyFill="1" applyBorder="1"/>
    <xf numFmtId="165" fontId="0" fillId="4" borderId="6" xfId="0" applyNumberFormat="1" applyFill="1" applyBorder="1"/>
    <xf numFmtId="164" fontId="9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7" fillId="0" borderId="0" xfId="0" applyNumberFormat="1" applyFont="1" applyAlignment="1">
      <alignment horizontal="center"/>
    </xf>
    <xf numFmtId="0" fontId="12" fillId="2" borderId="10" xfId="0" applyFont="1" applyFill="1" applyBorder="1"/>
    <xf numFmtId="0" fontId="13" fillId="2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0" borderId="5" xfId="0" applyBorder="1"/>
    <xf numFmtId="0" fontId="0" fillId="0" borderId="0" xfId="0" applyAlignment="1">
      <alignment horizontal="right"/>
    </xf>
    <xf numFmtId="0" fontId="1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14" fillId="0" borderId="0" xfId="0" applyFont="1" applyAlignment="1">
      <alignment horizontal="right"/>
    </xf>
    <xf numFmtId="168" fontId="5" fillId="6" borderId="1" xfId="0" applyNumberFormat="1" applyFont="1" applyFill="1" applyBorder="1" applyAlignment="1">
      <alignment horizontal="center"/>
    </xf>
    <xf numFmtId="0" fontId="7" fillId="0" borderId="0" xfId="0" applyNumberFormat="1" applyFont="1" applyAlignment="1">
      <alignment horizontal="center"/>
    </xf>
  </cellXfs>
  <cellStyles count="1">
    <cellStyle name="Normal" xfId="0" builtinId="0"/>
  </cellStyles>
  <dxfs count="1"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A4" lockText="1" noThreeD="1"/>
</file>

<file path=xl/ctrlProps/ctrlProp4.xml><?xml version="1.0" encoding="utf-8"?>
<formControlPr xmlns="http://schemas.microsoft.com/office/spreadsheetml/2009/9/main" objectType="CheckBox" fmlaLink="A5" lockText="1" noThreeD="1"/>
</file>

<file path=xl/ctrlProps/ctrlProp5.xml><?xml version="1.0" encoding="utf-8"?>
<formControlPr xmlns="http://schemas.microsoft.com/office/spreadsheetml/2009/9/main" objectType="CheckBox" fmlaLink="A7" lockText="1" noThreeD="1"/>
</file>

<file path=xl/ctrlProps/ctrlProp6.xml><?xml version="1.0" encoding="utf-8"?>
<formControlPr xmlns="http://schemas.microsoft.com/office/spreadsheetml/2009/9/main" objectType="CheckBox" checked="Checked" fmlaLink="A6" lockText="1" noThreeD="1"/>
</file>

<file path=xl/ctrlProps/ctrlProp7.xml><?xml version="1.0" encoding="utf-8"?>
<formControlPr xmlns="http://schemas.microsoft.com/office/spreadsheetml/2009/9/main" objectType="CheckBox" fmlaLink="A8" lockText="1" noThreeD="1"/>
</file>

<file path=xl/ctrlProps/ctrlProp8.xml><?xml version="1.0" encoding="utf-8"?>
<formControlPr xmlns="http://schemas.microsoft.com/office/spreadsheetml/2009/9/main" objectType="CheckBox" fmlaLink="A11" lockText="1" noThreeD="1"/>
</file>

<file path=xl/ctrlProps/ctrlProp9.xml><?xml version="1.0" encoding="utf-8"?>
<formControlPr xmlns="http://schemas.microsoft.com/office/spreadsheetml/2009/9/main" objectType="CheckBox" checked="Checked" fmlaLink="A12" lockText="1" noThreeD="1"/>
</file>

<file path=xl/ctrlProps/ctrlProp10.xml><?xml version="1.0" encoding="utf-8"?>
<formControlPr xmlns="http://schemas.microsoft.com/office/spreadsheetml/2009/9/main" objectType="CheckBox" fmlaLink="A13" lockText="1" noThreeD="1"/>
</file>

<file path=xl/ctrlProps/ctrlProp11.xml><?xml version="1.0" encoding="utf-8"?>
<formControlPr xmlns="http://schemas.microsoft.com/office/spreadsheetml/2009/9/main" objectType="CheckBox" fmlaLink="A14" lockText="1" noThreeD="1"/>
</file>

<file path=xl/ctrlProps/ctrlProp12.xml><?xml version="1.0" encoding="utf-8"?>
<formControlPr xmlns="http://schemas.microsoft.com/office/spreadsheetml/2009/9/main" objectType="CheckBox" fmlaLink="A9" lockText="1" noThreeD="1"/>
</file>

<file path=xl/ctrlProps/ctrlProp13.xml><?xml version="1.0" encoding="utf-8"?>
<formControlPr xmlns="http://schemas.microsoft.com/office/spreadsheetml/2009/9/main" objectType="CheckBox" checked="Checked" fmlaLink="A10" lockText="1" noThreeD="1"/>
</file>

<file path=xl/ctrlProps/ctrlProp14.xml><?xml version="1.0" encoding="utf-8"?>
<formControlPr xmlns="http://schemas.microsoft.com/office/spreadsheetml/2009/9/main" objectType="CheckBox" fmlaLink="A15" lockText="1" noThreeD="1"/>
</file>

<file path=xl/ctrlProps/ctrlProp15.xml><?xml version="1.0" encoding="utf-8"?>
<formControlPr xmlns="http://schemas.microsoft.com/office/spreadsheetml/2009/9/main" objectType="CheckBox" fmlaLink="A16" lockText="1" noThreeD="1"/>
</file>

<file path=xl/ctrlProps/ctrlProp16.xml><?xml version="1.0" encoding="utf-8"?>
<formControlPr xmlns="http://schemas.microsoft.com/office/spreadsheetml/2009/9/main" objectType="CheckBox" fmlaLink="A17" lockText="1" noThreeD="1"/>
</file>

<file path=xl/ctrlProps/ctrlProp17.xml><?xml version="1.0" encoding="utf-8"?>
<formControlPr xmlns="http://schemas.microsoft.com/office/spreadsheetml/2009/9/main" objectType="Radio" firstButton="1" fmlaLink="$A$22" lockText="1" noThreeD="1"/>
</file>

<file path=xl/ctrlProps/ctrlProp18.xml><?xml version="1.0" encoding="utf-8"?>
<formControlPr xmlns="http://schemas.microsoft.com/office/spreadsheetml/2009/9/main" objectType="Radio" checked="Checked" lockText="1" noThreeD="1"/>
</file>

<file path=xl/ctrlProps/ctrlProp19.xml><?xml version="1.0" encoding="utf-8"?>
<formControlPr xmlns="http://schemas.microsoft.com/office/spreadsheetml/2009/9/main" objectType="CheckBox" fmlaLink="$A$3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180975</xdr:colOff>
      <xdr:row>0</xdr:row>
      <xdr:rowOff>0</xdr:rowOff>
    </xdr:from>
    <xdr:to>
      <xdr:col>12</xdr:col>
      <xdr:colOff>266700</xdr:colOff>
      <xdr:row>10</xdr:row>
      <xdr:rowOff>142875</xdr:rowOff>
    </xdr:to>
    <xdr:pic>
      <xdr:nvPicPr>
        <xdr:cNvPr id="2" name="Imagem 1" descr="k7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67225" y="0"/>
          <a:ext cx="3190875" cy="2095500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11</xdr:row>
      <xdr:rowOff>0</xdr:rowOff>
    </xdr:from>
    <xdr:to>
      <xdr:col>10</xdr:col>
      <xdr:colOff>38100</xdr:colOff>
      <xdr:row>12</xdr:row>
      <xdr:rowOff>152400</xdr:rowOff>
    </xdr:to>
    <xdr:pic>
      <xdr:nvPicPr>
        <xdr:cNvPr id="1054" name="Picture 30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505450" y="2143125"/>
          <a:ext cx="904875" cy="3429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104775</xdr:rowOff>
        </xdr:from>
        <xdr:to>
          <xdr:col>8</xdr:col>
          <xdr:colOff>590550</xdr:colOff>
          <xdr:row>15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Zerar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14</xdr:row>
          <xdr:rowOff>104775</xdr:rowOff>
        </xdr:from>
        <xdr:to>
          <xdr:col>10</xdr:col>
          <xdr:colOff>76200</xdr:colOff>
          <xdr:row>15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171450</xdr:rowOff>
        </xdr:from>
        <xdr:to>
          <xdr:col>1</xdr:col>
          <xdr:colOff>638175</xdr:colOff>
          <xdr:row>4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171450</xdr:rowOff>
        </xdr:from>
        <xdr:to>
          <xdr:col>1</xdr:col>
          <xdr:colOff>638175</xdr:colOff>
          <xdr:row>5</xdr:row>
          <xdr:rowOff>9525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171450</xdr:rowOff>
        </xdr:from>
        <xdr:to>
          <xdr:col>1</xdr:col>
          <xdr:colOff>638175</xdr:colOff>
          <xdr:row>7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171450</xdr:rowOff>
        </xdr:from>
        <xdr:to>
          <xdr:col>1</xdr:col>
          <xdr:colOff>638175</xdr:colOff>
          <xdr:row>6</xdr:row>
          <xdr:rowOff>9525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171450</xdr:rowOff>
        </xdr:from>
        <xdr:to>
          <xdr:col>1</xdr:col>
          <xdr:colOff>638175</xdr:colOff>
          <xdr:row>8</xdr:row>
          <xdr:rowOff>9525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171450</xdr:rowOff>
        </xdr:from>
        <xdr:to>
          <xdr:col>1</xdr:col>
          <xdr:colOff>638175</xdr:colOff>
          <xdr:row>11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171450</xdr:rowOff>
        </xdr:from>
        <xdr:to>
          <xdr:col>1</xdr:col>
          <xdr:colOff>676275</xdr:colOff>
          <xdr:row>12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171450</xdr:rowOff>
        </xdr:from>
        <xdr:to>
          <xdr:col>1</xdr:col>
          <xdr:colOff>704850</xdr:colOff>
          <xdr:row>13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171450</xdr:rowOff>
        </xdr:from>
        <xdr:to>
          <xdr:col>2</xdr:col>
          <xdr:colOff>0</xdr:colOff>
          <xdr:row>14</xdr:row>
          <xdr:rowOff>9525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171450</xdr:rowOff>
        </xdr:from>
        <xdr:to>
          <xdr:col>1</xdr:col>
          <xdr:colOff>638175</xdr:colOff>
          <xdr:row>9</xdr:row>
          <xdr:rowOff>9525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171450</xdr:rowOff>
        </xdr:from>
        <xdr:to>
          <xdr:col>1</xdr:col>
          <xdr:colOff>638175</xdr:colOff>
          <xdr:row>10</xdr:row>
          <xdr:rowOff>9525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171450</xdr:rowOff>
        </xdr:from>
        <xdr:to>
          <xdr:col>1</xdr:col>
          <xdr:colOff>714375</xdr:colOff>
          <xdr:row>15</xdr:row>
          <xdr:rowOff>9525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171450</xdr:rowOff>
        </xdr:from>
        <xdr:to>
          <xdr:col>1</xdr:col>
          <xdr:colOff>704850</xdr:colOff>
          <xdr:row>16</xdr:row>
          <xdr:rowOff>9525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14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171450</xdr:rowOff>
        </xdr:from>
        <xdr:to>
          <xdr:col>2</xdr:col>
          <xdr:colOff>9525</xdr:colOff>
          <xdr:row>17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16</xdr:row>
          <xdr:rowOff>66675</xdr:rowOff>
        </xdr:from>
        <xdr:to>
          <xdr:col>10</xdr:col>
          <xdr:colOff>28575</xdr:colOff>
          <xdr:row>17</xdr:row>
          <xdr:rowOff>95250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Lado 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552450</xdr:colOff>
          <xdr:row>16</xdr:row>
          <xdr:rowOff>66675</xdr:rowOff>
        </xdr:from>
        <xdr:to>
          <xdr:col>10</xdr:col>
          <xdr:colOff>552450</xdr:colOff>
          <xdr:row>17</xdr:row>
          <xdr:rowOff>95250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Lado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219075</xdr:rowOff>
        </xdr:from>
        <xdr:to>
          <xdr:col>1</xdr:col>
          <xdr:colOff>638175</xdr:colOff>
          <xdr:row>3</xdr:row>
          <xdr:rowOff>9525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Música 1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R23"/>
  <sheetViews>
    <sheetView showGridLines="0" tabSelected="1" workbookViewId="0">
      <selection activeCell="O19" sqref="O19"/>
    </sheetView>
  </sheetViews>
  <sheetFormatPr defaultRowHeight="15" x14ac:dyDescent="0.25"/>
  <cols>
    <col min="1" max="1" width="12.42578125" bestFit="1" customWidth="1"/>
    <col min="2" max="2" width="10.85546875" customWidth="1"/>
    <col min="3" max="3" width="9.7109375" bestFit="1" customWidth="1"/>
    <col min="4" max="4" width="8.140625" bestFit="1" customWidth="1"/>
    <col min="5" max="5" width="8" bestFit="1" customWidth="1"/>
    <col min="6" max="6" width="9.85546875" bestFit="1" customWidth="1"/>
    <col min="12" max="12" width="10" customWidth="1"/>
    <col min="14" max="14" width="10.7109375" customWidth="1"/>
    <col min="15" max="15" width="8.85546875" style="28" customWidth="1"/>
    <col min="17" max="17" width="10.7109375" customWidth="1"/>
    <col min="18" max="18" width="9.140625" style="28"/>
  </cols>
  <sheetData>
    <row r="2" spans="1:18" ht="18.75" x14ac:dyDescent="0.3">
      <c r="B2" s="6" t="s">
        <v>0</v>
      </c>
      <c r="C2" s="6" t="s">
        <v>1</v>
      </c>
      <c r="D2" s="6" t="s">
        <v>4</v>
      </c>
      <c r="E2" s="6" t="s">
        <v>5</v>
      </c>
      <c r="F2" s="9" t="s">
        <v>2</v>
      </c>
      <c r="G2" s="9" t="s">
        <v>3</v>
      </c>
      <c r="N2" s="24" t="s">
        <v>8</v>
      </c>
      <c r="O2" s="33">
        <v>2.0833333333333332E-2</v>
      </c>
      <c r="Q2" s="24" t="s">
        <v>9</v>
      </c>
      <c r="R2" s="33">
        <v>2.0833333333333332E-2</v>
      </c>
    </row>
    <row r="3" spans="1:18" ht="15" customHeight="1" x14ac:dyDescent="0.25">
      <c r="A3" s="26" t="b">
        <v>0</v>
      </c>
      <c r="B3" s="1"/>
      <c r="C3" s="2">
        <v>3.3465827832115961E-3</v>
      </c>
      <c r="D3" s="11">
        <v>0</v>
      </c>
      <c r="E3" s="13">
        <v>0</v>
      </c>
      <c r="F3" s="8">
        <f>C3*D3</f>
        <v>0</v>
      </c>
      <c r="G3" s="8">
        <f>C3*E3</f>
        <v>0</v>
      </c>
      <c r="M3" t="s">
        <v>7</v>
      </c>
      <c r="N3" s="30" t="s">
        <v>25</v>
      </c>
      <c r="O3" s="34">
        <v>2.9855949049462684E-3</v>
      </c>
      <c r="P3" s="25" t="s">
        <v>7</v>
      </c>
      <c r="Q3" s="30" t="s">
        <v>26</v>
      </c>
      <c r="R3" s="34">
        <v>2.0084833657209571E-3</v>
      </c>
    </row>
    <row r="4" spans="1:18" ht="15" customHeight="1" x14ac:dyDescent="0.25">
      <c r="A4" s="26" t="b">
        <v>1</v>
      </c>
      <c r="B4" s="1"/>
      <c r="C4" s="2">
        <v>2.9855949049462684E-3</v>
      </c>
      <c r="D4" s="11">
        <v>1</v>
      </c>
      <c r="E4" s="14">
        <v>0</v>
      </c>
      <c r="F4" s="8">
        <f t="shared" ref="F4:F17" si="0">C4*D4</f>
        <v>2.9855949049462684E-3</v>
      </c>
      <c r="G4" s="8">
        <f t="shared" ref="G4:G17" si="1">C4*E4</f>
        <v>0</v>
      </c>
      <c r="M4" t="s">
        <v>7</v>
      </c>
      <c r="N4" s="30" t="s">
        <v>18</v>
      </c>
      <c r="O4" s="34">
        <v>4.2175955958848824E-3</v>
      </c>
      <c r="P4" s="25" t="s">
        <v>7</v>
      </c>
      <c r="Q4" s="30" t="s">
        <v>30</v>
      </c>
      <c r="R4" s="34">
        <v>2.5030386718166626E-3</v>
      </c>
    </row>
    <row r="5" spans="1:18" ht="15" customHeight="1" x14ac:dyDescent="0.25">
      <c r="A5" s="26" t="b">
        <v>0</v>
      </c>
      <c r="B5" s="1"/>
      <c r="C5" s="2">
        <v>4.3250673335890151E-3</v>
      </c>
      <c r="D5" s="11">
        <v>0</v>
      </c>
      <c r="E5" s="14">
        <v>0</v>
      </c>
      <c r="F5" s="8">
        <f t="shared" si="0"/>
        <v>0</v>
      </c>
      <c r="G5" s="8">
        <f t="shared" si="1"/>
        <v>0</v>
      </c>
      <c r="M5" t="s">
        <v>7</v>
      </c>
      <c r="N5" s="30" t="s">
        <v>19</v>
      </c>
      <c r="O5" s="34">
        <v>2.5132050643003698E-3</v>
      </c>
      <c r="P5" s="25" t="s">
        <v>7</v>
      </c>
      <c r="Q5" s="30" t="s">
        <v>20</v>
      </c>
      <c r="R5" s="34">
        <v>2.615740740740741E-3</v>
      </c>
    </row>
    <row r="6" spans="1:18" ht="15" customHeight="1" x14ac:dyDescent="0.25">
      <c r="A6" s="26" t="b">
        <v>1</v>
      </c>
      <c r="B6" s="1"/>
      <c r="C6" s="2">
        <v>4.2175955958848824E-3</v>
      </c>
      <c r="D6" s="11">
        <v>1</v>
      </c>
      <c r="E6" s="14">
        <v>0</v>
      </c>
      <c r="F6" s="8">
        <f t="shared" si="0"/>
        <v>4.2175955958848824E-3</v>
      </c>
      <c r="G6" s="8">
        <f t="shared" si="1"/>
        <v>0</v>
      </c>
      <c r="M6" t="s">
        <v>7</v>
      </c>
      <c r="N6" s="30" t="s">
        <v>29</v>
      </c>
      <c r="O6" s="34">
        <v>5.3786413147274333E-3</v>
      </c>
      <c r="P6" s="25" t="s">
        <v>7</v>
      </c>
      <c r="Q6" s="30" t="s">
        <v>21</v>
      </c>
      <c r="R6" s="34">
        <v>4.5572133005154312E-3</v>
      </c>
    </row>
    <row r="7" spans="1:18" ht="15" customHeight="1" x14ac:dyDescent="0.25">
      <c r="A7" s="26" t="b">
        <v>0</v>
      </c>
      <c r="B7" s="1"/>
      <c r="C7" s="2">
        <v>2.5132050643003698E-3</v>
      </c>
      <c r="D7" s="11">
        <v>1</v>
      </c>
      <c r="E7" s="14">
        <v>0</v>
      </c>
      <c r="F7" s="8">
        <f t="shared" si="0"/>
        <v>2.5132050643003698E-3</v>
      </c>
      <c r="G7" s="8">
        <f t="shared" si="1"/>
        <v>0</v>
      </c>
      <c r="M7" t="s">
        <v>7</v>
      </c>
      <c r="N7" s="30" t="s">
        <v>27</v>
      </c>
      <c r="O7" s="34">
        <v>5.4535765165776295E-3</v>
      </c>
      <c r="P7" s="25" t="s">
        <v>7</v>
      </c>
      <c r="Q7" s="30" t="s">
        <v>22</v>
      </c>
      <c r="R7" s="34">
        <v>4.6990740740740743E-3</v>
      </c>
    </row>
    <row r="8" spans="1:18" ht="15" customHeight="1" x14ac:dyDescent="0.25">
      <c r="A8" s="26" t="b">
        <v>0</v>
      </c>
      <c r="B8" s="1"/>
      <c r="C8" s="2">
        <v>2.0084833657209571E-3</v>
      </c>
      <c r="D8" s="11">
        <v>0</v>
      </c>
      <c r="E8" s="14">
        <v>1</v>
      </c>
      <c r="F8" s="8">
        <f t="shared" si="0"/>
        <v>0</v>
      </c>
      <c r="G8" s="8">
        <f t="shared" si="1"/>
        <v>2.0084833657209571E-3</v>
      </c>
      <c r="M8" t="s">
        <v>7</v>
      </c>
      <c r="N8" s="23" t="s">
        <v>23</v>
      </c>
      <c r="O8" s="39">
        <v>2.0548613396436585E-2</v>
      </c>
      <c r="P8" s="25" t="s">
        <v>7</v>
      </c>
      <c r="Q8" s="30" t="s">
        <v>28</v>
      </c>
      <c r="R8" s="34">
        <v>4.3594328056769417E-3</v>
      </c>
    </row>
    <row r="9" spans="1:18" ht="15" customHeight="1" x14ac:dyDescent="0.25">
      <c r="A9" s="26" t="b">
        <v>0</v>
      </c>
      <c r="B9" s="1"/>
      <c r="C9" s="2">
        <v>2.2243340519369553E-3</v>
      </c>
      <c r="D9" s="11">
        <v>0</v>
      </c>
      <c r="E9" s="14">
        <v>0</v>
      </c>
      <c r="F9" s="8">
        <f t="shared" si="0"/>
        <v>0</v>
      </c>
      <c r="G9" s="8">
        <f t="shared" si="1"/>
        <v>0</v>
      </c>
      <c r="M9" t="s">
        <v>7</v>
      </c>
      <c r="N9" s="23" t="s">
        <v>24</v>
      </c>
      <c r="O9" s="51">
        <v>5</v>
      </c>
      <c r="P9" s="25" t="s">
        <v>7</v>
      </c>
      <c r="Q9" s="23" t="s">
        <v>23</v>
      </c>
      <c r="R9" s="39">
        <v>2.074298295854481E-2</v>
      </c>
    </row>
    <row r="10" spans="1:18" ht="15" customHeight="1" x14ac:dyDescent="0.25">
      <c r="A10" s="26" t="b">
        <v>1</v>
      </c>
      <c r="B10" s="1"/>
      <c r="C10" s="2">
        <v>2.5030386718166626E-3</v>
      </c>
      <c r="D10" s="11">
        <v>0</v>
      </c>
      <c r="E10" s="14">
        <v>1</v>
      </c>
      <c r="F10" s="8">
        <f t="shared" si="0"/>
        <v>0</v>
      </c>
      <c r="G10" s="8">
        <f t="shared" si="1"/>
        <v>2.5030386718166626E-3</v>
      </c>
      <c r="M10" t="s">
        <v>7</v>
      </c>
      <c r="N10" s="23" t="s">
        <v>7</v>
      </c>
      <c r="O10" s="51" t="s">
        <v>7</v>
      </c>
      <c r="P10" s="25" t="s">
        <v>7</v>
      </c>
      <c r="Q10" s="23" t="s">
        <v>24</v>
      </c>
      <c r="R10" s="51">
        <v>6</v>
      </c>
    </row>
    <row r="11" spans="1:18" ht="15" customHeight="1" x14ac:dyDescent="0.25">
      <c r="A11" s="26" t="b">
        <v>0</v>
      </c>
      <c r="B11" s="1"/>
      <c r="C11" s="2">
        <v>2.7106023927885733E-3</v>
      </c>
      <c r="D11" s="11">
        <v>0</v>
      </c>
      <c r="E11" s="14">
        <v>0</v>
      </c>
      <c r="F11" s="8">
        <f t="shared" si="0"/>
        <v>0</v>
      </c>
      <c r="G11" s="8">
        <f t="shared" si="1"/>
        <v>0</v>
      </c>
      <c r="M11" t="s">
        <v>7</v>
      </c>
      <c r="N11" s="23" t="s">
        <v>7</v>
      </c>
      <c r="O11" s="35" t="s">
        <v>7</v>
      </c>
      <c r="P11" s="25" t="s">
        <v>7</v>
      </c>
      <c r="Q11" s="23" t="s">
        <v>7</v>
      </c>
      <c r="R11" s="35" t="s">
        <v>7</v>
      </c>
    </row>
    <row r="12" spans="1:18" ht="15" customHeight="1" x14ac:dyDescent="0.4">
      <c r="A12" s="26" t="b">
        <v>1</v>
      </c>
      <c r="B12" s="1"/>
      <c r="C12" s="5">
        <v>2.615740740740741E-3</v>
      </c>
      <c r="D12" s="12">
        <v>0</v>
      </c>
      <c r="E12" s="14">
        <v>1</v>
      </c>
      <c r="F12" s="8">
        <f t="shared" si="0"/>
        <v>0</v>
      </c>
      <c r="G12" s="8">
        <f t="shared" si="1"/>
        <v>2.615740740740741E-3</v>
      </c>
      <c r="J12" s="3"/>
      <c r="K12" s="4" t="s">
        <v>13</v>
      </c>
      <c r="L12" s="3"/>
      <c r="M12" t="s">
        <v>7</v>
      </c>
      <c r="N12" s="25" t="s">
        <v>7</v>
      </c>
      <c r="O12" s="37" t="s">
        <v>7</v>
      </c>
      <c r="P12" s="25" t="s">
        <v>7</v>
      </c>
      <c r="Q12" s="25" t="s">
        <v>7</v>
      </c>
      <c r="R12" s="37" t="s">
        <v>7</v>
      </c>
    </row>
    <row r="13" spans="1:18" ht="15" customHeight="1" x14ac:dyDescent="0.25">
      <c r="A13" s="26" t="b">
        <v>0</v>
      </c>
      <c r="B13" s="1"/>
      <c r="C13" s="2">
        <v>4.5572133005154312E-3</v>
      </c>
      <c r="D13" s="11">
        <v>0</v>
      </c>
      <c r="E13" s="14">
        <v>1</v>
      </c>
      <c r="F13" s="8">
        <f t="shared" si="0"/>
        <v>0</v>
      </c>
      <c r="G13" s="8">
        <f t="shared" si="1"/>
        <v>4.5572133005154312E-3</v>
      </c>
      <c r="K13" s="4" t="s">
        <v>14</v>
      </c>
      <c r="N13" s="40" t="s">
        <v>10</v>
      </c>
      <c r="O13" s="41">
        <v>4</v>
      </c>
      <c r="P13" t="s">
        <v>7</v>
      </c>
      <c r="Q13" s="40" t="s">
        <v>10</v>
      </c>
      <c r="R13" s="41">
        <v>9</v>
      </c>
    </row>
    <row r="14" spans="1:18" ht="15" customHeight="1" x14ac:dyDescent="0.25">
      <c r="A14" s="26" t="b">
        <v>0</v>
      </c>
      <c r="B14" s="1"/>
      <c r="C14" s="2">
        <v>5.3786413147274333E-3</v>
      </c>
      <c r="D14" s="11">
        <v>1</v>
      </c>
      <c r="E14" s="14">
        <v>0</v>
      </c>
      <c r="F14" s="8">
        <f t="shared" si="0"/>
        <v>5.3786413147274333E-3</v>
      </c>
      <c r="G14" s="8">
        <f t="shared" si="1"/>
        <v>0</v>
      </c>
      <c r="M14" t="s">
        <v>7</v>
      </c>
      <c r="N14" s="25" t="s">
        <v>7</v>
      </c>
      <c r="O14" s="37" t="s">
        <v>7</v>
      </c>
      <c r="P14" s="25" t="s">
        <v>7</v>
      </c>
      <c r="Q14" s="25" t="s">
        <v>7</v>
      </c>
      <c r="R14" s="37" t="s">
        <v>7</v>
      </c>
    </row>
    <row r="15" spans="1:18" ht="15" customHeight="1" x14ac:dyDescent="0.25">
      <c r="A15" s="26" t="b">
        <v>0</v>
      </c>
      <c r="B15" s="1"/>
      <c r="C15" s="2">
        <v>4.6990740740740743E-3</v>
      </c>
      <c r="D15" s="11">
        <v>0</v>
      </c>
      <c r="E15" s="14">
        <v>1</v>
      </c>
      <c r="F15" s="8">
        <f t="shared" si="0"/>
        <v>0</v>
      </c>
      <c r="G15" s="8">
        <f t="shared" si="1"/>
        <v>4.6990740740740743E-3</v>
      </c>
      <c r="I15" s="17"/>
      <c r="J15" s="18"/>
      <c r="K15" s="31"/>
      <c r="M15" s="45" t="s">
        <v>15</v>
      </c>
      <c r="N15" s="45"/>
      <c r="O15" s="42">
        <v>15</v>
      </c>
    </row>
    <row r="16" spans="1:18" ht="15" customHeight="1" x14ac:dyDescent="0.25">
      <c r="A16" s="26" t="b">
        <v>0</v>
      </c>
      <c r="B16" s="1"/>
      <c r="C16" s="2">
        <v>5.4535765165776295E-3</v>
      </c>
      <c r="D16" s="11">
        <v>1</v>
      </c>
      <c r="E16" s="14">
        <v>0</v>
      </c>
      <c r="F16" s="8">
        <f t="shared" si="0"/>
        <v>5.4535765165776295E-3</v>
      </c>
      <c r="G16" s="8">
        <f t="shared" si="1"/>
        <v>0</v>
      </c>
      <c r="I16" s="19"/>
      <c r="J16" s="16"/>
      <c r="K16" s="32"/>
      <c r="L16" s="15"/>
      <c r="M16" s="45" t="s">
        <v>16</v>
      </c>
      <c r="N16" s="45"/>
      <c r="O16" s="42">
        <v>60</v>
      </c>
      <c r="P16" s="46"/>
      <c r="Q16" s="46"/>
      <c r="R16" s="36"/>
    </row>
    <row r="17" spans="1:18" ht="15" customHeight="1" x14ac:dyDescent="0.25">
      <c r="A17" s="26" t="b">
        <v>0</v>
      </c>
      <c r="B17" s="1"/>
      <c r="C17" s="2">
        <v>4.3594328056769417E-3</v>
      </c>
      <c r="D17" s="11">
        <v>0</v>
      </c>
      <c r="E17" s="14">
        <v>1</v>
      </c>
      <c r="F17" s="8">
        <f t="shared" si="0"/>
        <v>0</v>
      </c>
      <c r="G17" s="8">
        <f t="shared" si="1"/>
        <v>4.3594328056769417E-3</v>
      </c>
      <c r="I17" s="47" t="s">
        <v>6</v>
      </c>
      <c r="J17" s="16"/>
      <c r="K17" s="20"/>
      <c r="L17" s="15"/>
      <c r="M17" s="49" t="s">
        <v>11</v>
      </c>
      <c r="N17" s="49"/>
      <c r="O17" s="50">
        <v>1E-3</v>
      </c>
      <c r="P17" s="46"/>
      <c r="Q17" s="46"/>
      <c r="R17" s="36"/>
    </row>
    <row r="18" spans="1:18" ht="15" customHeight="1" x14ac:dyDescent="0.25">
      <c r="C18" s="7">
        <f>SUM(C3:C17)</f>
        <v>5.3898182916507539E-2</v>
      </c>
      <c r="D18" s="10"/>
      <c r="E18" s="10"/>
      <c r="F18" s="29">
        <f>SUM(F3:F17)</f>
        <v>2.0548613396436585E-2</v>
      </c>
      <c r="G18" s="29">
        <f>SUM(G3:G17)</f>
        <v>2.074298295854481E-2</v>
      </c>
      <c r="I18" s="48"/>
      <c r="J18" s="21"/>
      <c r="K18" s="22"/>
      <c r="L18" s="15"/>
      <c r="M18" s="49" t="s">
        <v>12</v>
      </c>
      <c r="N18" s="49"/>
      <c r="O18" s="42">
        <v>0</v>
      </c>
      <c r="P18" s="43" t="s">
        <v>17</v>
      </c>
      <c r="R18" s="37" t="s">
        <v>7</v>
      </c>
    </row>
    <row r="19" spans="1:18" x14ac:dyDescent="0.25">
      <c r="I19" s="27"/>
      <c r="J19" s="15"/>
      <c r="K19" s="15"/>
      <c r="L19" s="15"/>
      <c r="O19"/>
      <c r="P19" s="44"/>
      <c r="Q19" s="44"/>
      <c r="R19" s="37" t="s">
        <v>7</v>
      </c>
    </row>
    <row r="20" spans="1:18" x14ac:dyDescent="0.25">
      <c r="P20" s="25" t="s">
        <v>7</v>
      </c>
      <c r="Q20" s="25" t="s">
        <v>7</v>
      </c>
      <c r="R20" s="37" t="s">
        <v>7</v>
      </c>
    </row>
    <row r="21" spans="1:18" x14ac:dyDescent="0.25">
      <c r="N21" s="25"/>
      <c r="O21" s="37"/>
      <c r="P21" s="25"/>
      <c r="Q21" s="25"/>
      <c r="R21" s="37"/>
    </row>
    <row r="22" spans="1:18" x14ac:dyDescent="0.25">
      <c r="A22" s="26">
        <v>2</v>
      </c>
      <c r="N22" s="25"/>
      <c r="O22" s="37"/>
      <c r="P22" s="25"/>
      <c r="Q22" s="25"/>
      <c r="R22" s="37"/>
    </row>
    <row r="23" spans="1:18" x14ac:dyDescent="0.25">
      <c r="A23" s="26">
        <v>1</v>
      </c>
      <c r="O23" s="38"/>
      <c r="Q23" s="25"/>
      <c r="R23" s="37"/>
    </row>
  </sheetData>
  <mergeCells count="8">
    <mergeCell ref="P19:Q19"/>
    <mergeCell ref="M15:N15"/>
    <mergeCell ref="P16:Q16"/>
    <mergeCell ref="P17:Q17"/>
    <mergeCell ref="I17:I18"/>
    <mergeCell ref="M16:N16"/>
    <mergeCell ref="M17:N17"/>
    <mergeCell ref="M18:N18"/>
  </mergeCells>
  <conditionalFormatting sqref="D3:G17">
    <cfRule type="cellIs" dxfId="0" priority="4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impar">
                <anchor moveWithCells="1">
                  <from>
                    <xdr:col>8</xdr:col>
                    <xdr:colOff>104775</xdr:colOff>
                    <xdr:row>14</xdr:row>
                    <xdr:rowOff>104775</xdr:rowOff>
                  </from>
                  <to>
                    <xdr:col>8</xdr:col>
                    <xdr:colOff>590550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olver">
                <anchor moveWithCells="1">
                  <from>
                    <xdr:col>9</xdr:col>
                    <xdr:colOff>57150</xdr:colOff>
                    <xdr:row>14</xdr:row>
                    <xdr:rowOff>104775</xdr:rowOff>
                  </from>
                  <to>
                    <xdr:col>10</xdr:col>
                    <xdr:colOff>76200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1</xdr:col>
                    <xdr:colOff>0</xdr:colOff>
                    <xdr:row>2</xdr:row>
                    <xdr:rowOff>171450</xdr:rowOff>
                  </from>
                  <to>
                    <xdr:col>1</xdr:col>
                    <xdr:colOff>638175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171450</xdr:rowOff>
                  </from>
                  <to>
                    <xdr:col>1</xdr:col>
                    <xdr:colOff>638175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171450</xdr:rowOff>
                  </from>
                  <to>
                    <xdr:col>1</xdr:col>
                    <xdr:colOff>638175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1</xdr:col>
                    <xdr:colOff>0</xdr:colOff>
                    <xdr:row>4</xdr:row>
                    <xdr:rowOff>171450</xdr:rowOff>
                  </from>
                  <to>
                    <xdr:col>1</xdr:col>
                    <xdr:colOff>638175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1</xdr:col>
                    <xdr:colOff>0</xdr:colOff>
                    <xdr:row>6</xdr:row>
                    <xdr:rowOff>171450</xdr:rowOff>
                  </from>
                  <to>
                    <xdr:col>1</xdr:col>
                    <xdr:colOff>638175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171450</xdr:rowOff>
                  </from>
                  <to>
                    <xdr:col>1</xdr:col>
                    <xdr:colOff>638175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autoFill="0" autoLine="0" autoPict="0">
                <anchor moveWithCells="1">
                  <from>
                    <xdr:col>1</xdr:col>
                    <xdr:colOff>0</xdr:colOff>
                    <xdr:row>10</xdr:row>
                    <xdr:rowOff>171450</xdr:rowOff>
                  </from>
                  <to>
                    <xdr:col>1</xdr:col>
                    <xdr:colOff>676275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autoFill="0" autoLine="0" autoPict="0">
                <anchor moveWithCells="1">
                  <from>
                    <xdr:col>1</xdr:col>
                    <xdr:colOff>0</xdr:colOff>
                    <xdr:row>11</xdr:row>
                    <xdr:rowOff>171450</xdr:rowOff>
                  </from>
                  <to>
                    <xdr:col>1</xdr:col>
                    <xdr:colOff>704850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Check Box 13">
              <controlPr defaultSize="0" autoFill="0" autoLine="0" autoPict="0">
                <anchor moveWithCells="1">
                  <from>
                    <xdr:col>1</xdr:col>
                    <xdr:colOff>0</xdr:colOff>
                    <xdr:row>12</xdr:row>
                    <xdr:rowOff>171450</xdr:rowOff>
                  </from>
                  <to>
                    <xdr:col>2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Check Box 14">
              <controlPr defaultSize="0" autoFill="0" autoLine="0" autoPict="0">
                <anchor moveWithCells="1">
                  <from>
                    <xdr:col>1</xdr:col>
                    <xdr:colOff>0</xdr:colOff>
                    <xdr:row>7</xdr:row>
                    <xdr:rowOff>171450</xdr:rowOff>
                  </from>
                  <to>
                    <xdr:col>1</xdr:col>
                    <xdr:colOff>638175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Check Box 15">
              <controlPr defaultSize="0" autoFill="0" autoLine="0" autoPict="0">
                <anchor moveWithCells="1">
                  <from>
                    <xdr:col>1</xdr:col>
                    <xdr:colOff>0</xdr:colOff>
                    <xdr:row>8</xdr:row>
                    <xdr:rowOff>171450</xdr:rowOff>
                  </from>
                  <to>
                    <xdr:col>1</xdr:col>
                    <xdr:colOff>638175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Check Box 16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171450</xdr:rowOff>
                  </from>
                  <to>
                    <xdr:col>1</xdr:col>
                    <xdr:colOff>714375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Check Box 17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171450</xdr:rowOff>
                  </from>
                  <to>
                    <xdr:col>1</xdr:col>
                    <xdr:colOff>704850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Check Box 18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171450</xdr:rowOff>
                  </from>
                  <to>
                    <xdr:col>2</xdr:col>
                    <xdr:colOff>9525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9" name="Option Button 21">
              <controlPr defaultSize="0" autoFill="0" autoLine="0" autoPict="0">
                <anchor moveWithCells="1">
                  <from>
                    <xdr:col>9</xdr:col>
                    <xdr:colOff>28575</xdr:colOff>
                    <xdr:row>16</xdr:row>
                    <xdr:rowOff>66675</xdr:rowOff>
                  </from>
                  <to>
                    <xdr:col>10</xdr:col>
                    <xdr:colOff>28575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Option Button 22">
              <controlPr defaultSize="0" autoFill="0" autoLine="0" autoPict="0">
                <anchor moveWithCells="1">
                  <from>
                    <xdr:col>9</xdr:col>
                    <xdr:colOff>552450</xdr:colOff>
                    <xdr:row>16</xdr:row>
                    <xdr:rowOff>66675</xdr:rowOff>
                  </from>
                  <to>
                    <xdr:col>10</xdr:col>
                    <xdr:colOff>552450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Check Box 25">
              <controlPr defaultSize="0" autoFill="0" autoLine="0" autoPict="0">
                <anchor moveWithCells="1">
                  <from>
                    <xdr:col>1</xdr:col>
                    <xdr:colOff>0</xdr:colOff>
                    <xdr:row>1</xdr:row>
                    <xdr:rowOff>219075</xdr:rowOff>
                  </from>
                  <to>
                    <xdr:col>1</xdr:col>
                    <xdr:colOff>638175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</dc:creator>
  <cp:lastModifiedBy>Aluno</cp:lastModifiedBy>
  <dcterms:created xsi:type="dcterms:W3CDTF">2010-05-18T18:30:28Z</dcterms:created>
  <dcterms:modified xsi:type="dcterms:W3CDTF">2023-10-04T16:23:05Z</dcterms:modified>
</cp:coreProperties>
</file>