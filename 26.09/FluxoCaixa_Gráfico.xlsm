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Excel Avançado\26.09\"/>
    </mc:Choice>
  </mc:AlternateContent>
  <xr:revisionPtr revIDLastSave="0" documentId="13_ncr:1_{06E8C1A8-62F7-4852-8E6F-9BDF9E7CE626}" xr6:coauthVersionLast="47" xr6:coauthVersionMax="47" xr10:uidLastSave="{00000000-0000-0000-0000-000000000000}"/>
  <bookViews>
    <workbookView xWindow="-120" yWindow="-120" windowWidth="24240" windowHeight="13020" activeTab="1" xr2:uid="{00000000-000D-0000-FFFF-FFFF00000000}"/>
  </bookViews>
  <sheets>
    <sheet name="Gráfico" sheetId="2" r:id="rId1"/>
    <sheet name="Fluxo" sheetId="1" r:id="rId2"/>
  </sheets>
  <externalReferences>
    <externalReference r:id="rId3"/>
  </externalReferences>
  <definedNames>
    <definedName name="Apostilas">[1]Compras!$A$16</definedName>
    <definedName name="Diversos">[1]Compras!$A$80</definedName>
    <definedName name="Edson">[1]Comissão!#REF!</definedName>
    <definedName name="Eduardo">[1]Comissão!#REF!</definedName>
    <definedName name="Encadernação">[1]Compras!$A$61</definedName>
    <definedName name="Entradas_diversas">#REF!</definedName>
    <definedName name="Entradas_escola">#REF!</definedName>
    <definedName name="Entradas_metodo">#REF!</definedName>
    <definedName name="Evandro">[1]Comissão!#REF!</definedName>
    <definedName name="HandProt">[1]Compras!$A$3</definedName>
    <definedName name="Ivan">[1]Comissão!#REF!</definedName>
    <definedName name="Papeis">[1]Compras!$A$32</definedName>
    <definedName name="Resumo">#REF!</definedName>
    <definedName name="Roseli">[1]Comissão!#REF!</definedName>
    <definedName name="Saídas_diversas">#REF!</definedName>
    <definedName name="Saídas_escola">#REF!</definedName>
    <definedName name="Saídas_genéricos">#REF!</definedName>
    <definedName name="Saídas_metodo">#REF!</definedName>
    <definedName name="Suprimentos">[1]Compras!$A$43</definedName>
    <definedName name="t">[1]Compras!#REF!</definedName>
    <definedName name="teste">[1]Compras!#REF!</definedName>
  </definedNames>
  <calcPr calcId="191029"/>
</workbook>
</file>

<file path=xl/calcChain.xml><?xml version="1.0" encoding="utf-8"?>
<calcChain xmlns="http://schemas.openxmlformats.org/spreadsheetml/2006/main">
  <c r="E21" i="1" l="1"/>
  <c r="F21" i="1"/>
  <c r="G21" i="1"/>
  <c r="H21" i="1"/>
  <c r="D20" i="1"/>
  <c r="C22" i="1"/>
  <c r="C21" i="1"/>
  <c r="D13" i="1"/>
  <c r="E13" i="1"/>
  <c r="F13" i="1"/>
  <c r="G13" i="1"/>
  <c r="H13" i="1"/>
  <c r="D7" i="1"/>
  <c r="E7" i="1"/>
  <c r="F7" i="1"/>
  <c r="G7" i="1"/>
  <c r="H7" i="1"/>
  <c r="C13" i="1"/>
  <c r="C7" i="1"/>
  <c r="D18" i="1" l="1"/>
  <c r="D21" i="1" s="1"/>
  <c r="D22" i="1" s="1"/>
  <c r="E20" i="1" s="1"/>
  <c r="E22" i="1" s="1"/>
  <c r="F20" i="1" s="1"/>
  <c r="F22" i="1" s="1"/>
  <c r="G20" i="1" s="1"/>
  <c r="G22" i="1" s="1"/>
  <c r="H20" i="1" s="1"/>
  <c r="H22" i="1" s="1"/>
  <c r="H18" i="1"/>
  <c r="F18" i="1"/>
  <c r="E18" i="1"/>
  <c r="G18" i="1"/>
  <c r="C18" i="1"/>
</calcChain>
</file>

<file path=xl/sharedStrings.xml><?xml version="1.0" encoding="utf-8"?>
<sst xmlns="http://schemas.openxmlformats.org/spreadsheetml/2006/main" count="37" uniqueCount="30">
  <si>
    <t>Resultado</t>
  </si>
  <si>
    <t>Saldo mês anterior</t>
  </si>
  <si>
    <t>Despesas</t>
  </si>
  <si>
    <t>Atualizar:</t>
  </si>
  <si>
    <t>Saldo para transporte</t>
  </si>
  <si>
    <t>Receitas</t>
  </si>
  <si>
    <t>Fluxo de Caixa - Mercearia Dimas</t>
  </si>
  <si>
    <t>Meses</t>
  </si>
  <si>
    <t>Janeiro</t>
  </si>
  <si>
    <t>Fevereiro</t>
  </si>
  <si>
    <t>Março</t>
  </si>
  <si>
    <t>Abril</t>
  </si>
  <si>
    <t>Maio</t>
  </si>
  <si>
    <t>Junho</t>
  </si>
  <si>
    <t>Assados</t>
  </si>
  <si>
    <t>Supermercado</t>
  </si>
  <si>
    <t>Revista</t>
  </si>
  <si>
    <t>Açougue</t>
  </si>
  <si>
    <t>Padaria</t>
  </si>
  <si>
    <t>Fornecedores</t>
  </si>
  <si>
    <t>Funcionários</t>
  </si>
  <si>
    <t>Impostos</t>
  </si>
  <si>
    <t>Colunas1</t>
  </si>
  <si>
    <t>Colunas2</t>
  </si>
  <si>
    <t>Colunas3</t>
  </si>
  <si>
    <t>Colunas4</t>
  </si>
  <si>
    <t>Colunas5</t>
  </si>
  <si>
    <t>Colunas6</t>
  </si>
  <si>
    <t>Colunas7</t>
  </si>
  <si>
    <t>Colunas8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</si>
</sst>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0"/>
      <name val="Arial"/>
    </font>
    <font>
      <sz val="10"/>
      <name val="Verdana"/>
      <family val="2"/>
    </font>
    <font>
      <b/>
      <sz val="10"/>
      <name val="Verdana"/>
      <family val="2"/>
    </font>
    <font>
      <sz val="10"/>
      <color theme="0"/>
      <name val="Verdana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2" borderId="0" xfId="0" applyFont="1" applyFill="1"/>
    <xf numFmtId="44" fontId="1" fillId="0" borderId="0" xfId="1" applyFont="1"/>
  </cellXfs>
  <cellStyles count="2">
    <cellStyle name="Moeda" xfId="1" builtinId="4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Análise dos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Fluxo!$C$5:$H$5</c:f>
              <c:strCache>
                <c:ptCount val="6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</c:strCache>
            </c:strRef>
          </c:cat>
          <c:val>
            <c:numRef>
              <c:f>Fluxo!$C$22:$H$22</c:f>
              <c:numCache>
                <c:formatCode>_("R$"* #,##0.00_);_("R$"* \(#,##0.00\);_("R$"* "-"??_);_(@_)</c:formatCode>
                <c:ptCount val="6"/>
                <c:pt idx="0">
                  <c:v>1060</c:v>
                </c:pt>
                <c:pt idx="1">
                  <c:v>1760</c:v>
                </c:pt>
                <c:pt idx="2">
                  <c:v>2385</c:v>
                </c:pt>
                <c:pt idx="3">
                  <c:v>3055</c:v>
                </c:pt>
                <c:pt idx="4">
                  <c:v>3815</c:v>
                </c:pt>
                <c:pt idx="5">
                  <c:v>4565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D-4359-9881-550DC593F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163232"/>
        <c:axId val="961777072"/>
      </c:lineChart>
      <c:catAx>
        <c:axId val="7401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1777072"/>
        <c:crosses val="autoZero"/>
        <c:auto val="1"/>
        <c:lblAlgn val="ctr"/>
        <c:lblOffset val="100"/>
        <c:noMultiLvlLbl val="0"/>
      </c:catAx>
      <c:valAx>
        <c:axId val="9617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Balanço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01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7BB69B-E164-4D53-9230-4C74BF5CD0ED}">
  <sheetPr/>
  <sheetViews>
    <sheetView zoomScale="8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16" fmlaLink="J1" fmlaRange="$J$6:$J$11" noThreeD="1" sel="6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53427" cy="602536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710096-9EB0-E7EC-ACE7-5550C099F8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457200</xdr:colOff>
          <xdr:row>3</xdr:row>
          <xdr:rowOff>38100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9525</xdr:rowOff>
        </xdr:from>
        <xdr:to>
          <xdr:col>9</xdr:col>
          <xdr:colOff>485775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Arquivo%20de%20Programas\Uso%20Diario\ADM_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as a Pagar"/>
      <sheetName val="Plan2"/>
      <sheetName val="Realizado"/>
      <sheetName val="Dados"/>
      <sheetName val="Gráficos"/>
      <sheetName val="EletronicaReleases"/>
      <sheetName val="Soluções-Vendas"/>
      <sheetName val="Compras"/>
      <sheetName val="Comissão"/>
      <sheetName val="Ano2005"/>
      <sheetName val="Virtual"/>
      <sheetName val="ExtratosF"/>
      <sheetName val="ExtratosJ"/>
      <sheetName val="ExtratosP1"/>
      <sheetName val="ExtratosP2"/>
      <sheetName val="A5"/>
      <sheetName val="Edson"/>
      <sheetName val="Ilha"/>
      <sheetName val="Carro"/>
      <sheetName val="Impressão"/>
      <sheetName val="Apostilas"/>
      <sheetName val="Tabela210605"/>
      <sheetName val="Tabela020505"/>
      <sheetName val="Anotações"/>
      <sheetName val="EletronicaVendas"/>
      <sheetName val="EletronicaDemos"/>
      <sheetName val="OPrev"/>
      <sheetName val="OReal"/>
      <sheetName val="OPxR"/>
      <sheetName val="AP42"/>
      <sheetName val="Consolidad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A3" t="str">
            <v>Créditos para o HandProt</v>
          </cell>
        </row>
        <row r="16">
          <cell r="A16" t="str">
            <v>Apostilas impressas</v>
          </cell>
        </row>
        <row r="32">
          <cell r="A32" t="str">
            <v>Papel A4 e Carta</v>
          </cell>
        </row>
        <row r="43">
          <cell r="A43" t="str">
            <v>Suprimentos para impressao</v>
          </cell>
        </row>
        <row r="61">
          <cell r="A61" t="str">
            <v>Encadernação</v>
          </cell>
        </row>
        <row r="80">
          <cell r="A80" t="str">
            <v>Materiais diversos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H22" totalsRowShown="0" headerRowDxfId="9" dataDxfId="8">
  <autoFilter ref="A1:H22" xr:uid="{00000000-0009-0000-0100-000001000000}"/>
  <tableColumns count="8">
    <tableColumn id="1" xr3:uid="{00000000-0010-0000-0000-000001000000}" name="Colunas1" dataDxfId="7"/>
    <tableColumn id="2" xr3:uid="{00000000-0010-0000-0000-000002000000}" name="Colunas2" dataDxfId="6"/>
    <tableColumn id="3" xr3:uid="{00000000-0010-0000-0000-000003000000}" name="Colunas3" dataDxfId="5"/>
    <tableColumn id="4" xr3:uid="{00000000-0010-0000-0000-000004000000}" name="Colunas4" dataDxfId="4"/>
    <tableColumn id="5" xr3:uid="{00000000-0010-0000-0000-000005000000}" name="Colunas5" dataDxfId="3"/>
    <tableColumn id="6" xr3:uid="{00000000-0010-0000-0000-000006000000}" name="Colunas6" dataDxfId="2"/>
    <tableColumn id="7" xr3:uid="{00000000-0010-0000-0000-000007000000}" name="Colunas7" dataDxfId="1"/>
    <tableColumn id="8" xr3:uid="{00000000-0010-0000-0000-000008000000}" name="Colunas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24"/>
  <sheetViews>
    <sheetView tabSelected="1" workbookViewId="0">
      <selection activeCell="M17" sqref="M17"/>
    </sheetView>
  </sheetViews>
  <sheetFormatPr defaultRowHeight="12.75" x14ac:dyDescent="0.2"/>
  <cols>
    <col min="1" max="1" width="12.7109375" style="1" customWidth="1"/>
    <col min="2" max="2" width="22" style="1" bestFit="1" customWidth="1"/>
    <col min="3" max="8" width="14.7109375" style="1" customWidth="1"/>
    <col min="9" max="16384" width="9.140625" style="1"/>
  </cols>
  <sheetData>
    <row r="1" spans="1:10" ht="12.75" customHeight="1" x14ac:dyDescent="0.2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J1" s="4">
        <v>6</v>
      </c>
    </row>
    <row r="2" spans="1:10" ht="12.75" customHeight="1" x14ac:dyDescent="0.2">
      <c r="A2" s="1" t="s">
        <v>6</v>
      </c>
      <c r="J2" s="1" t="s">
        <v>3</v>
      </c>
    </row>
    <row r="3" spans="1:10" ht="12.75" customHeight="1" x14ac:dyDescent="0.2"/>
    <row r="4" spans="1:10" ht="12.75" customHeight="1" x14ac:dyDescent="0.2">
      <c r="C4" s="1" t="s">
        <v>7</v>
      </c>
    </row>
    <row r="5" spans="1:10" ht="12.75" customHeight="1" x14ac:dyDescent="0.2">
      <c r="C5" s="1" t="s">
        <v>8</v>
      </c>
      <c r="D5" s="1" t="s">
        <v>9</v>
      </c>
      <c r="E5" s="1" t="s">
        <v>10</v>
      </c>
      <c r="F5" s="1" t="s">
        <v>11</v>
      </c>
      <c r="G5" s="1" t="s">
        <v>12</v>
      </c>
      <c r="H5" s="1" t="s">
        <v>13</v>
      </c>
    </row>
    <row r="6" spans="1:10" ht="12.75" customHeight="1" x14ac:dyDescent="0.2">
      <c r="J6" s="3" t="s">
        <v>8</v>
      </c>
    </row>
    <row r="7" spans="1:10" ht="12.75" customHeight="1" x14ac:dyDescent="0.2">
      <c r="A7" s="1" t="s">
        <v>5</v>
      </c>
      <c r="C7" s="2">
        <f>SUM(C8:C12)</f>
        <v>1380</v>
      </c>
      <c r="D7" s="2">
        <f t="shared" ref="D7:H7" si="0">SUM(D8:D12)</f>
        <v>1420</v>
      </c>
      <c r="E7" s="2">
        <f t="shared" si="0"/>
        <v>1345</v>
      </c>
      <c r="F7" s="2">
        <f t="shared" si="0"/>
        <v>1360</v>
      </c>
      <c r="G7" s="2">
        <f t="shared" si="0"/>
        <v>1550</v>
      </c>
      <c r="H7" s="2">
        <f t="shared" si="0"/>
        <v>1540</v>
      </c>
      <c r="J7" s="3" t="s">
        <v>9</v>
      </c>
    </row>
    <row r="8" spans="1:10" ht="12.75" customHeight="1" x14ac:dyDescent="0.2">
      <c r="B8" s="1" t="s">
        <v>14</v>
      </c>
      <c r="C8" s="1">
        <v>50</v>
      </c>
      <c r="D8" s="1">
        <v>60</v>
      </c>
      <c r="E8" s="1">
        <v>70</v>
      </c>
      <c r="F8" s="1">
        <v>50</v>
      </c>
      <c r="G8" s="1">
        <v>100</v>
      </c>
      <c r="H8" s="1">
        <v>70</v>
      </c>
      <c r="J8" s="3" t="s">
        <v>10</v>
      </c>
    </row>
    <row r="9" spans="1:10" ht="12.75" customHeight="1" x14ac:dyDescent="0.2">
      <c r="B9" s="1" t="s">
        <v>15</v>
      </c>
      <c r="C9" s="1">
        <v>300</v>
      </c>
      <c r="D9" s="1">
        <v>300</v>
      </c>
      <c r="E9" s="1">
        <v>300</v>
      </c>
      <c r="F9" s="1">
        <v>250</v>
      </c>
      <c r="G9" s="1">
        <v>350</v>
      </c>
      <c r="H9" s="1">
        <v>300</v>
      </c>
      <c r="J9" s="3" t="s">
        <v>11</v>
      </c>
    </row>
    <row r="10" spans="1:10" ht="12.75" customHeight="1" x14ac:dyDescent="0.2">
      <c r="B10" s="1" t="s">
        <v>16</v>
      </c>
      <c r="C10" s="1">
        <v>30</v>
      </c>
      <c r="D10" s="1">
        <v>60</v>
      </c>
      <c r="E10" s="1">
        <v>55</v>
      </c>
      <c r="F10" s="1">
        <v>30</v>
      </c>
      <c r="G10" s="1">
        <v>70</v>
      </c>
      <c r="H10" s="1">
        <v>40</v>
      </c>
      <c r="J10" s="3" t="s">
        <v>12</v>
      </c>
    </row>
    <row r="11" spans="1:10" ht="12.75" customHeight="1" x14ac:dyDescent="0.2">
      <c r="B11" s="1" t="s">
        <v>17</v>
      </c>
      <c r="C11" s="1">
        <v>400</v>
      </c>
      <c r="D11" s="1">
        <v>500</v>
      </c>
      <c r="E11" s="1">
        <v>420</v>
      </c>
      <c r="F11" s="1">
        <v>420</v>
      </c>
      <c r="G11" s="1">
        <v>420</v>
      </c>
      <c r="H11" s="1">
        <v>450</v>
      </c>
      <c r="J11" s="3" t="s">
        <v>13</v>
      </c>
    </row>
    <row r="12" spans="1:10" ht="12.75" customHeight="1" x14ac:dyDescent="0.2">
      <c r="B12" s="1" t="s">
        <v>18</v>
      </c>
      <c r="C12" s="1">
        <v>600</v>
      </c>
      <c r="D12" s="1">
        <v>500</v>
      </c>
      <c r="E12" s="1">
        <v>500</v>
      </c>
      <c r="F12" s="1">
        <v>610</v>
      </c>
      <c r="G12" s="1">
        <v>610</v>
      </c>
      <c r="H12" s="1">
        <v>680</v>
      </c>
    </row>
    <row r="13" spans="1:10" ht="12.75" customHeight="1" x14ac:dyDescent="0.2">
      <c r="A13" s="1" t="s">
        <v>2</v>
      </c>
      <c r="C13" s="2">
        <f>SUM(C14:C16)</f>
        <v>720</v>
      </c>
      <c r="D13" s="2">
        <f t="shared" ref="D13:H13" si="1">SUM(D14:D16)</f>
        <v>720</v>
      </c>
      <c r="E13" s="2">
        <f t="shared" si="1"/>
        <v>720</v>
      </c>
      <c r="F13" s="2">
        <f t="shared" si="1"/>
        <v>690</v>
      </c>
      <c r="G13" s="2">
        <f t="shared" si="1"/>
        <v>790</v>
      </c>
      <c r="H13" s="2">
        <f t="shared" si="1"/>
        <v>790</v>
      </c>
    </row>
    <row r="14" spans="1:10" ht="12.75" customHeight="1" x14ac:dyDescent="0.2">
      <c r="B14" s="1" t="s">
        <v>19</v>
      </c>
      <c r="C14" s="1">
        <v>300</v>
      </c>
      <c r="D14" s="1">
        <v>300</v>
      </c>
      <c r="E14" s="1">
        <v>300</v>
      </c>
      <c r="F14" s="1">
        <v>200</v>
      </c>
      <c r="G14" s="1">
        <v>300</v>
      </c>
      <c r="H14" s="1">
        <v>300</v>
      </c>
    </row>
    <row r="15" spans="1:10" ht="12.75" customHeight="1" x14ac:dyDescent="0.2">
      <c r="B15" s="1" t="s">
        <v>20</v>
      </c>
      <c r="C15" s="1">
        <v>300</v>
      </c>
      <c r="D15" s="1">
        <v>300</v>
      </c>
      <c r="E15" s="1">
        <v>300</v>
      </c>
      <c r="F15" s="1">
        <v>370</v>
      </c>
      <c r="G15" s="1">
        <v>370</v>
      </c>
      <c r="H15" s="1">
        <v>370</v>
      </c>
    </row>
    <row r="16" spans="1:10" ht="12.75" customHeight="1" x14ac:dyDescent="0.2">
      <c r="B16" s="1" t="s">
        <v>21</v>
      </c>
      <c r="C16" s="1">
        <v>120</v>
      </c>
      <c r="D16" s="1">
        <v>120</v>
      </c>
      <c r="E16" s="1">
        <v>120</v>
      </c>
      <c r="F16" s="1">
        <v>120</v>
      </c>
      <c r="G16" s="1">
        <v>120</v>
      </c>
      <c r="H16" s="1">
        <v>120</v>
      </c>
    </row>
    <row r="17" spans="2:8" ht="12.75" customHeight="1" x14ac:dyDescent="0.2"/>
    <row r="18" spans="2:8" ht="12.75" customHeight="1" x14ac:dyDescent="0.2">
      <c r="B18" s="1" t="s">
        <v>0</v>
      </c>
      <c r="C18" s="2">
        <f>C7-C13</f>
        <v>660</v>
      </c>
      <c r="D18" s="2">
        <f t="shared" ref="D18:H18" si="2">D7-D13</f>
        <v>700</v>
      </c>
      <c r="E18" s="2">
        <f t="shared" si="2"/>
        <v>625</v>
      </c>
      <c r="F18" s="2">
        <f t="shared" si="2"/>
        <v>670</v>
      </c>
      <c r="G18" s="2">
        <f t="shared" si="2"/>
        <v>760</v>
      </c>
      <c r="H18" s="2">
        <f t="shared" si="2"/>
        <v>750</v>
      </c>
    </row>
    <row r="19" spans="2:8" ht="12.75" customHeight="1" x14ac:dyDescent="0.2"/>
    <row r="20" spans="2:8" ht="12.75" customHeight="1" x14ac:dyDescent="0.2">
      <c r="B20" s="1" t="s">
        <v>1</v>
      </c>
      <c r="C20" s="5">
        <v>400</v>
      </c>
      <c r="D20" s="5">
        <f>C22</f>
        <v>1060</v>
      </c>
      <c r="E20" s="5">
        <f t="shared" ref="E20:H20" si="3">D22</f>
        <v>1760</v>
      </c>
      <c r="F20" s="5">
        <f t="shared" si="3"/>
        <v>2385</v>
      </c>
      <c r="G20" s="5">
        <f t="shared" si="3"/>
        <v>3055</v>
      </c>
      <c r="H20" s="5">
        <f t="shared" si="3"/>
        <v>3815</v>
      </c>
    </row>
    <row r="21" spans="2:8" ht="12.75" customHeight="1" x14ac:dyDescent="0.2">
      <c r="B21" s="1" t="s">
        <v>0</v>
      </c>
      <c r="C21" s="5">
        <f>C18</f>
        <v>660</v>
      </c>
      <c r="D21" s="5">
        <f>D18</f>
        <v>700</v>
      </c>
      <c r="E21" s="5">
        <f t="shared" ref="E21:H21" si="4">E18</f>
        <v>625</v>
      </c>
      <c r="F21" s="5">
        <f t="shared" si="4"/>
        <v>670</v>
      </c>
      <c r="G21" s="5">
        <f t="shared" si="4"/>
        <v>760</v>
      </c>
      <c r="H21" s="5">
        <f t="shared" si="4"/>
        <v>750</v>
      </c>
    </row>
    <row r="22" spans="2:8" ht="12.75" customHeight="1" x14ac:dyDescent="0.2">
      <c r="B22" s="1" t="s">
        <v>4</v>
      </c>
      <c r="C22" s="5">
        <f>SUM(C20:C21)</f>
        <v>1060</v>
      </c>
      <c r="D22" s="5">
        <f>SUM(D20,D21)</f>
        <v>1760</v>
      </c>
      <c r="E22" s="5">
        <f t="shared" ref="E22:H22" si="5">SUM(E20,E21)</f>
        <v>2385</v>
      </c>
      <c r="F22" s="5">
        <f t="shared" si="5"/>
        <v>3055</v>
      </c>
      <c r="G22" s="5">
        <f t="shared" si="5"/>
        <v>3815</v>
      </c>
      <c r="H22" s="5">
        <f t="shared" si="5"/>
        <v>4565</v>
      </c>
    </row>
    <row r="23" spans="2:8" ht="12.75" customHeight="1" x14ac:dyDescent="0.2"/>
    <row r="24" spans="2:8" ht="12.75" customHeight="1" x14ac:dyDescent="0.2"/>
  </sheetData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tualizarmes">
                <anchor mov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9</xdr:col>
                    <xdr:colOff>485775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Fluxo</vt:lpstr>
      <vt:lpstr>Gráfico</vt:lpstr>
    </vt:vector>
  </TitlesOfParts>
  <Company>cgd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cgd</dc:creator>
  <cp:lastModifiedBy>Aluno</cp:lastModifiedBy>
  <dcterms:created xsi:type="dcterms:W3CDTF">2005-07-14T19:46:04Z</dcterms:created>
  <dcterms:modified xsi:type="dcterms:W3CDTF">2023-09-26T18:08:33Z</dcterms:modified>
</cp:coreProperties>
</file>