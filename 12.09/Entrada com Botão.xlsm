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Z:\Excel Avançado\"/>
    </mc:Choice>
  </mc:AlternateContent>
  <xr:revisionPtr revIDLastSave="0" documentId="13_ncr:1_{9C6ACCA6-B0BD-457A-BFB0-147C7C33D2C2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Plan1" sheetId="1" r:id="rId1"/>
    <sheet name="Plan2" sheetId="2" r:id="rId2"/>
    <sheet name="Plan3" sheetId="3" r:id="rId3"/>
  </sheets>
  <calcPr calcId="191029"/>
</workbook>
</file>

<file path=xl/calcChain.xml><?xml version="1.0" encoding="utf-8"?>
<calcChain xmlns="http://schemas.openxmlformats.org/spreadsheetml/2006/main">
  <c r="C11" i="1" l="1"/>
  <c r="D6" i="2"/>
  <c r="D10" i="2" s="1"/>
  <c r="D7" i="2"/>
  <c r="E7" i="2" s="1"/>
  <c r="F7" i="2" s="1"/>
  <c r="D8" i="2"/>
  <c r="E8" i="2" s="1"/>
  <c r="F8" i="2" s="1"/>
  <c r="D12" i="2"/>
  <c r="D13" i="2"/>
  <c r="D14" i="2"/>
  <c r="D15" i="2"/>
  <c r="E6" i="2"/>
  <c r="E12" i="2"/>
  <c r="E13" i="2"/>
  <c r="E14" i="2"/>
  <c r="F14" i="2" s="1"/>
  <c r="E15" i="2"/>
  <c r="F12" i="2"/>
  <c r="F13" i="2"/>
  <c r="F15" i="2"/>
  <c r="F6" i="2"/>
  <c r="C10" i="2"/>
  <c r="C17" i="2"/>
  <c r="D12" i="3"/>
  <c r="E12" i="3" s="1"/>
  <c r="F12" i="3" s="1"/>
  <c r="D13" i="3"/>
  <c r="D14" i="3"/>
  <c r="E14" i="3" s="1"/>
  <c r="F14" i="3" s="1"/>
  <c r="D15" i="3"/>
  <c r="E15" i="3" s="1"/>
  <c r="F15" i="3" s="1"/>
  <c r="D6" i="3"/>
  <c r="D7" i="3"/>
  <c r="E7" i="3" s="1"/>
  <c r="F7" i="3" s="1"/>
  <c r="D8" i="3"/>
  <c r="E8" i="3" s="1"/>
  <c r="F8" i="3" s="1"/>
  <c r="C10" i="3"/>
  <c r="C17" i="3"/>
  <c r="E10" i="2" l="1"/>
  <c r="C19" i="2"/>
  <c r="D17" i="3"/>
  <c r="D10" i="3"/>
  <c r="D19" i="3" s="1"/>
  <c r="C19" i="3"/>
  <c r="E6" i="3"/>
  <c r="E13" i="3"/>
  <c r="F10" i="2"/>
  <c r="F17" i="2"/>
  <c r="F19" i="2" s="1"/>
  <c r="E17" i="2"/>
  <c r="D17" i="2"/>
  <c r="D19" i="2" s="1"/>
  <c r="E18" i="2"/>
  <c r="C18" i="2"/>
  <c r="E19" i="2" l="1"/>
  <c r="D18" i="2"/>
  <c r="D20" i="3"/>
  <c r="E17" i="3"/>
  <c r="F13" i="3"/>
  <c r="F17" i="3" s="1"/>
  <c r="F18" i="2"/>
  <c r="E10" i="3"/>
  <c r="F6" i="3"/>
  <c r="F10" i="3" s="1"/>
  <c r="E19" i="3" l="1"/>
  <c r="F20" i="3"/>
  <c r="F19" i="3"/>
  <c r="E20" i="3"/>
</calcChain>
</file>

<file path=xl/sharedStrings.xml><?xml version="1.0" encoding="utf-8"?>
<sst xmlns="http://schemas.openxmlformats.org/spreadsheetml/2006/main" count="45" uniqueCount="24">
  <si>
    <t>RELATIVA ABSOLUTA S/A</t>
  </si>
  <si>
    <t>ANO 2000</t>
  </si>
  <si>
    <t>SALDO 1999</t>
  </si>
  <si>
    <t>1º BIM</t>
  </si>
  <si>
    <t>2º BIM</t>
  </si>
  <si>
    <t>3º BIM</t>
  </si>
  <si>
    <t>Inflação</t>
  </si>
  <si>
    <t>Vendas</t>
  </si>
  <si>
    <t>Aulas</t>
  </si>
  <si>
    <t>Sistemas</t>
  </si>
  <si>
    <t>Receita Total</t>
  </si>
  <si>
    <t>Salários</t>
  </si>
  <si>
    <t>Comições</t>
  </si>
  <si>
    <t>Aluguéis</t>
  </si>
  <si>
    <t>Suprimentos</t>
  </si>
  <si>
    <t>Despesas Total</t>
  </si>
  <si>
    <t>Lucro Líquido</t>
  </si>
  <si>
    <t>Variação em %</t>
  </si>
  <si>
    <t xml:space="preserve">RELATIVA ABSOLUTA </t>
  </si>
  <si>
    <t xml:space="preserve"> </t>
  </si>
  <si>
    <t>Acumulado</t>
  </si>
  <si>
    <t>Marcons - Informática</t>
  </si>
  <si>
    <t>SALDO 2019</t>
  </si>
  <si>
    <t>Ano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</si>
</sst>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R$ &quot;* #,##0.00_);_(&quot;R$ &quot;* \(#,##0.00\);_(&quot;R$ &quot;* &quot;-&quot;??_);_(@_)"/>
  </numFmts>
  <fonts count="13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18"/>
      <name val="Arial"/>
      <family val="2"/>
    </font>
    <font>
      <b/>
      <sz val="11"/>
      <color indexed="9"/>
      <name val="Arial"/>
      <family val="2"/>
    </font>
    <font>
      <b/>
      <i/>
      <sz val="10"/>
      <color indexed="18"/>
      <name val="Arial"/>
      <family val="2"/>
    </font>
    <font>
      <b/>
      <sz val="10"/>
      <color indexed="8"/>
      <name val="Arial"/>
      <family val="2"/>
    </font>
    <font>
      <b/>
      <i/>
      <sz val="9"/>
      <color indexed="9"/>
      <name val="Arial"/>
      <family val="2"/>
    </font>
    <font>
      <b/>
      <sz val="12"/>
      <color indexed="51"/>
      <name val="Arial"/>
      <family val="2"/>
    </font>
    <font>
      <b/>
      <sz val="10"/>
      <color indexed="59"/>
      <name val="Arial"/>
      <family val="2"/>
    </font>
    <font>
      <b/>
      <sz val="10"/>
      <color indexed="18"/>
      <name val="Arial"/>
      <family val="2"/>
    </font>
    <font>
      <sz val="10"/>
      <color indexed="12"/>
      <name val="Arial"/>
      <family val="2"/>
    </font>
    <font>
      <b/>
      <sz val="10"/>
      <color theme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24"/>
      </patternFill>
    </fill>
    <fill>
      <patternFill patternType="solid">
        <fgColor indexed="9"/>
        <bgColor indexed="24"/>
      </patternFill>
    </fill>
    <fill>
      <patternFill patternType="solid">
        <fgColor indexed="18"/>
        <bgColor indexed="2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2" fillId="0" borderId="1" xfId="0" applyFont="1" applyBorder="1"/>
    <xf numFmtId="9" fontId="2" fillId="0" borderId="1" xfId="0" applyNumberFormat="1" applyFont="1" applyBorder="1"/>
    <xf numFmtId="9" fontId="2" fillId="0" borderId="1" xfId="2" applyFont="1" applyBorder="1"/>
    <xf numFmtId="164" fontId="2" fillId="0" borderId="1" xfId="1" applyFont="1" applyBorder="1"/>
    <xf numFmtId="164" fontId="0" fillId="0" borderId="0" xfId="1" applyFont="1"/>
    <xf numFmtId="0" fontId="3" fillId="2" borderId="0" xfId="0" applyFont="1" applyFill="1"/>
    <xf numFmtId="0" fontId="3" fillId="2" borderId="2" xfId="0" applyFont="1" applyFill="1" applyBorder="1"/>
    <xf numFmtId="9" fontId="3" fillId="2" borderId="0" xfId="0" applyNumberFormat="1" applyFont="1" applyFill="1"/>
    <xf numFmtId="9" fontId="3" fillId="2" borderId="2" xfId="0" applyNumberFormat="1" applyFont="1" applyFill="1" applyBorder="1"/>
    <xf numFmtId="164" fontId="3" fillId="2" borderId="0" xfId="1" applyFont="1" applyFill="1" applyBorder="1" applyAlignment="1"/>
    <xf numFmtId="164" fontId="3" fillId="2" borderId="2" xfId="1" applyFont="1" applyFill="1" applyBorder="1" applyAlignment="1"/>
    <xf numFmtId="0" fontId="5" fillId="2" borderId="3" xfId="0" applyFont="1" applyFill="1" applyBorder="1" applyAlignment="1">
      <alignment horizontal="left"/>
    </xf>
    <xf numFmtId="0" fontId="6" fillId="2" borderId="3" xfId="0" applyFont="1" applyFill="1" applyBorder="1" applyAlignment="1">
      <alignment horizontal="left"/>
    </xf>
    <xf numFmtId="0" fontId="6" fillId="3" borderId="4" xfId="0" applyFont="1" applyFill="1" applyBorder="1" applyAlignment="1">
      <alignment horizontal="left"/>
    </xf>
    <xf numFmtId="0" fontId="5" fillId="2" borderId="0" xfId="0" applyFont="1" applyFill="1" applyAlignment="1">
      <alignment horizontal="left"/>
    </xf>
    <xf numFmtId="0" fontId="6" fillId="2" borderId="0" xfId="0" applyFont="1" applyFill="1" applyAlignment="1">
      <alignment horizontal="left"/>
    </xf>
    <xf numFmtId="0" fontId="6" fillId="3" borderId="5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164" fontId="3" fillId="2" borderId="7" xfId="1" applyFont="1" applyFill="1" applyBorder="1" applyAlignment="1"/>
    <xf numFmtId="164" fontId="3" fillId="2" borderId="8" xfId="1" applyFont="1" applyFill="1" applyBorder="1" applyAlignment="1"/>
    <xf numFmtId="164" fontId="9" fillId="2" borderId="0" xfId="1" applyFont="1" applyFill="1" applyBorder="1" applyAlignment="1"/>
    <xf numFmtId="164" fontId="10" fillId="3" borderId="5" xfId="1" applyFont="1" applyFill="1" applyBorder="1" applyAlignment="1"/>
    <xf numFmtId="164" fontId="10" fillId="3" borderId="9" xfId="1" applyFont="1" applyFill="1" applyBorder="1" applyAlignment="1"/>
    <xf numFmtId="0" fontId="8" fillId="4" borderId="3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left"/>
    </xf>
    <xf numFmtId="0" fontId="4" fillId="4" borderId="11" xfId="0" applyFont="1" applyFill="1" applyBorder="1" applyAlignment="1">
      <alignment horizontal="left"/>
    </xf>
    <xf numFmtId="0" fontId="7" fillId="4" borderId="11" xfId="0" applyFont="1" applyFill="1" applyBorder="1" applyAlignment="1">
      <alignment horizontal="right"/>
    </xf>
    <xf numFmtId="0" fontId="7" fillId="4" borderId="12" xfId="0" applyFont="1" applyFill="1" applyBorder="1" applyAlignment="1">
      <alignment horizontal="right"/>
    </xf>
    <xf numFmtId="14" fontId="7" fillId="4" borderId="11" xfId="0" applyNumberFormat="1" applyFont="1" applyFill="1" applyBorder="1" applyAlignment="1">
      <alignment horizontal="right"/>
    </xf>
    <xf numFmtId="0" fontId="6" fillId="3" borderId="13" xfId="0" applyFont="1" applyFill="1" applyBorder="1" applyAlignment="1">
      <alignment horizontal="left"/>
    </xf>
    <xf numFmtId="0" fontId="8" fillId="4" borderId="14" xfId="0" applyFont="1" applyFill="1" applyBorder="1" applyAlignment="1">
      <alignment horizontal="center"/>
    </xf>
    <xf numFmtId="0" fontId="8" fillId="4" borderId="15" xfId="0" applyFont="1" applyFill="1" applyBorder="1" applyAlignment="1">
      <alignment horizontal="center"/>
    </xf>
    <xf numFmtId="0" fontId="8" fillId="4" borderId="16" xfId="0" applyFont="1" applyFill="1" applyBorder="1" applyAlignment="1">
      <alignment horizontal="center"/>
    </xf>
    <xf numFmtId="164" fontId="3" fillId="2" borderId="0" xfId="1" applyFont="1" applyFill="1" applyBorder="1" applyAlignment="1" applyProtection="1">
      <protection locked="0"/>
    </xf>
    <xf numFmtId="164" fontId="12" fillId="3" borderId="5" xfId="1" applyFont="1" applyFill="1" applyBorder="1" applyAlignment="1"/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Atualizar Valores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F12"/>
  <sheetViews>
    <sheetView tabSelected="1" workbookViewId="0">
      <selection activeCell="C7" sqref="C7"/>
    </sheetView>
  </sheetViews>
  <sheetFormatPr defaultRowHeight="12.75" x14ac:dyDescent="0.2"/>
  <cols>
    <col min="2" max="2" width="25.140625" customWidth="1"/>
    <col min="3" max="6" width="14.28515625" customWidth="1"/>
  </cols>
  <sheetData>
    <row r="1" spans="1:6" ht="15.75" x14ac:dyDescent="0.25">
      <c r="A1" s="33" t="s">
        <v>21</v>
      </c>
      <c r="B1" s="34"/>
      <c r="C1" s="34"/>
      <c r="D1" s="34"/>
      <c r="E1" s="34"/>
      <c r="F1" s="35"/>
    </row>
    <row r="2" spans="1:6" ht="15.75" x14ac:dyDescent="0.25">
      <c r="A2" s="24"/>
      <c r="B2" s="25"/>
      <c r="C2" s="25"/>
      <c r="D2" s="25"/>
      <c r="E2" s="25"/>
      <c r="F2" s="26"/>
    </row>
    <row r="3" spans="1:6" ht="15.75" thickBot="1" x14ac:dyDescent="0.3">
      <c r="A3" s="27"/>
      <c r="B3" s="28"/>
      <c r="C3" s="29" t="s">
        <v>22</v>
      </c>
      <c r="D3" s="31">
        <v>42370</v>
      </c>
      <c r="E3" s="29"/>
      <c r="F3" s="30"/>
    </row>
    <row r="4" spans="1:6" ht="19.149999999999999" customHeight="1" thickTop="1" x14ac:dyDescent="0.2">
      <c r="A4" s="12"/>
      <c r="B4" s="15" t="s">
        <v>23</v>
      </c>
      <c r="C4" s="6"/>
      <c r="D4" s="8"/>
      <c r="E4" s="8"/>
      <c r="F4" s="9"/>
    </row>
    <row r="5" spans="1:6" ht="19.149999999999999" customHeight="1" x14ac:dyDescent="0.2">
      <c r="A5" s="12"/>
      <c r="B5" s="15"/>
      <c r="C5" s="6"/>
      <c r="D5" s="6"/>
      <c r="E5" s="6"/>
      <c r="F5" s="7"/>
    </row>
    <row r="6" spans="1:6" ht="19.149999999999999" customHeight="1" x14ac:dyDescent="0.2">
      <c r="A6" s="12"/>
      <c r="B6" s="15"/>
      <c r="C6" s="6"/>
      <c r="D6" s="6"/>
      <c r="E6" s="6"/>
      <c r="F6" s="7"/>
    </row>
    <row r="7" spans="1:6" x14ac:dyDescent="0.2">
      <c r="A7" s="13"/>
      <c r="B7" s="16" t="s">
        <v>7</v>
      </c>
      <c r="C7" s="21">
        <v>50000</v>
      </c>
      <c r="D7" s="36">
        <v>1600</v>
      </c>
      <c r="E7" s="10"/>
      <c r="F7" s="11"/>
    </row>
    <row r="8" spans="1:6" x14ac:dyDescent="0.2">
      <c r="A8" s="13"/>
      <c r="B8" s="16" t="s">
        <v>8</v>
      </c>
      <c r="C8" s="21">
        <v>120000</v>
      </c>
      <c r="D8" s="36">
        <v>2200</v>
      </c>
      <c r="E8" s="10"/>
      <c r="F8" s="11"/>
    </row>
    <row r="9" spans="1:6" x14ac:dyDescent="0.2">
      <c r="A9" s="13"/>
      <c r="B9" s="16" t="s">
        <v>9</v>
      </c>
      <c r="C9" s="21">
        <v>12000</v>
      </c>
      <c r="D9" s="36">
        <v>4200</v>
      </c>
      <c r="E9" s="10"/>
      <c r="F9" s="11"/>
    </row>
    <row r="10" spans="1:6" ht="13.5" thickBot="1" x14ac:dyDescent="0.25">
      <c r="A10" s="13"/>
      <c r="B10" s="16"/>
      <c r="C10" s="10"/>
      <c r="D10" s="10"/>
      <c r="E10" s="10"/>
      <c r="F10" s="11"/>
    </row>
    <row r="11" spans="1:6" ht="13.5" thickBot="1" x14ac:dyDescent="0.25">
      <c r="A11" s="14"/>
      <c r="B11" s="17" t="s">
        <v>10</v>
      </c>
      <c r="C11" s="37">
        <f>SUM(C7:C10)</f>
        <v>182000</v>
      </c>
      <c r="D11" s="22"/>
      <c r="E11" s="22"/>
      <c r="F11" s="23"/>
    </row>
    <row r="12" spans="1:6" ht="19.149999999999999" customHeight="1" thickBot="1" x14ac:dyDescent="0.25">
      <c r="A12" s="18"/>
      <c r="B12" s="32" t="s">
        <v>20</v>
      </c>
      <c r="C12" s="22"/>
      <c r="D12" s="19"/>
      <c r="E12" s="19"/>
      <c r="F12" s="20"/>
    </row>
  </sheetData>
  <sheetProtection formatCells="0"/>
  <mergeCells count="1">
    <mergeCell ref="A1:F1"/>
  </mergeCells>
  <phoneticPr fontId="0" type="noConversion"/>
  <pageMargins left="0.78740157499999996" right="0.78740157499999996" top="0.984251969" bottom="0.984251969" header="0.49212598499999999" footer="0.49212598499999999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clui_mes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F19"/>
  <sheetViews>
    <sheetView workbookViewId="0">
      <selection activeCell="C7" sqref="C7"/>
    </sheetView>
  </sheetViews>
  <sheetFormatPr defaultRowHeight="12.75" x14ac:dyDescent="0.2"/>
  <cols>
    <col min="2" max="2" width="15" customWidth="1"/>
    <col min="3" max="6" width="14.28515625" bestFit="1" customWidth="1"/>
  </cols>
  <sheetData>
    <row r="1" spans="1:6" x14ac:dyDescent="0.2">
      <c r="A1" s="1"/>
      <c r="B1" s="1" t="s">
        <v>0</v>
      </c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</row>
    <row r="4" spans="1:6" x14ac:dyDescent="0.2">
      <c r="A4" s="1"/>
      <c r="B4" s="1" t="s">
        <v>6</v>
      </c>
      <c r="C4" s="1"/>
      <c r="D4" s="3">
        <v>0.05</v>
      </c>
      <c r="E4" s="2">
        <v>7.0000000000000007E-2</v>
      </c>
      <c r="F4" s="2">
        <v>0.03</v>
      </c>
    </row>
    <row r="5" spans="1:6" x14ac:dyDescent="0.2">
      <c r="A5" s="1"/>
      <c r="B5" s="1"/>
      <c r="C5" s="1"/>
      <c r="D5" s="1"/>
      <c r="E5" s="1"/>
      <c r="F5" s="1"/>
    </row>
    <row r="6" spans="1:6" x14ac:dyDescent="0.2">
      <c r="A6" s="1"/>
      <c r="B6" s="1" t="s">
        <v>7</v>
      </c>
      <c r="C6" s="5">
        <v>50000</v>
      </c>
      <c r="D6" s="5">
        <f>(C6*$D$4)+C6</f>
        <v>52500</v>
      </c>
      <c r="E6" s="5">
        <f>(D6*$E$4)+D6</f>
        <v>56175</v>
      </c>
      <c r="F6" s="5">
        <f>(E6*$F$4)+E6</f>
        <v>57860.25</v>
      </c>
    </row>
    <row r="7" spans="1:6" x14ac:dyDescent="0.2">
      <c r="A7" s="1"/>
      <c r="B7" s="1" t="s">
        <v>8</v>
      </c>
      <c r="C7" s="5">
        <v>120000</v>
      </c>
      <c r="D7" s="5">
        <f>(C7*$D$4)+C7</f>
        <v>126000</v>
      </c>
      <c r="E7" s="5">
        <f>(D7*$E$4)+D7</f>
        <v>134820</v>
      </c>
      <c r="F7" s="5">
        <f>(E7*$F$4)+E7</f>
        <v>138864.6</v>
      </c>
    </row>
    <row r="8" spans="1:6" x14ac:dyDescent="0.2">
      <c r="A8" s="1"/>
      <c r="B8" s="1" t="s">
        <v>9</v>
      </c>
      <c r="C8" s="5">
        <v>12000</v>
      </c>
      <c r="D8" s="5">
        <f>(C8*$D$4)+C8</f>
        <v>12600</v>
      </c>
      <c r="E8" s="5">
        <f>(D8*$E$4)+D8</f>
        <v>13482</v>
      </c>
      <c r="F8" s="5">
        <f>(E8*$F$4)+E8</f>
        <v>13886.46</v>
      </c>
    </row>
    <row r="9" spans="1:6" x14ac:dyDescent="0.2">
      <c r="A9" s="1"/>
      <c r="B9" s="1"/>
      <c r="C9" s="4"/>
      <c r="D9" s="4"/>
      <c r="E9" s="4"/>
      <c r="F9" s="4"/>
    </row>
    <row r="10" spans="1:6" x14ac:dyDescent="0.2">
      <c r="A10" s="1"/>
      <c r="B10" s="1" t="s">
        <v>10</v>
      </c>
      <c r="C10" s="4">
        <f>SUM(C6:C9)</f>
        <v>182000</v>
      </c>
      <c r="D10" s="4">
        <f>SUM(D6:D9)</f>
        <v>191100</v>
      </c>
      <c r="E10" s="4">
        <f>SUM(E6:E9)</f>
        <v>204477</v>
      </c>
      <c r="F10" s="4">
        <f>SUM(F6:F9)</f>
        <v>210611.31</v>
      </c>
    </row>
    <row r="11" spans="1:6" x14ac:dyDescent="0.2">
      <c r="A11" s="1"/>
      <c r="B11" s="1"/>
      <c r="C11" s="4"/>
      <c r="D11" s="4"/>
      <c r="E11" s="4"/>
      <c r="F11" s="4"/>
    </row>
    <row r="12" spans="1:6" x14ac:dyDescent="0.2">
      <c r="A12" s="1"/>
      <c r="B12" s="1" t="s">
        <v>11</v>
      </c>
      <c r="C12" s="4">
        <v>36000</v>
      </c>
      <c r="D12" s="4">
        <f>(C12*$D$4)+C12</f>
        <v>37800</v>
      </c>
      <c r="E12" s="4">
        <f>(D12*$E$4)+D12</f>
        <v>40446</v>
      </c>
      <c r="F12" s="4">
        <f>(E12*$F$4)+E12</f>
        <v>41659.379999999997</v>
      </c>
    </row>
    <row r="13" spans="1:6" x14ac:dyDescent="0.2">
      <c r="A13" s="1"/>
      <c r="B13" s="1" t="s">
        <v>12</v>
      </c>
      <c r="C13" s="4">
        <v>12000</v>
      </c>
      <c r="D13" s="4">
        <f>(C13*$D$4)+C13</f>
        <v>12600</v>
      </c>
      <c r="E13" s="4">
        <f>(D13*$E$4)+D13</f>
        <v>13482</v>
      </c>
      <c r="F13" s="4">
        <f>(E13*$F$4)+E13</f>
        <v>13886.46</v>
      </c>
    </row>
    <row r="14" spans="1:6" x14ac:dyDescent="0.2">
      <c r="A14" s="1"/>
      <c r="B14" s="1" t="s">
        <v>13</v>
      </c>
      <c r="C14" s="4">
        <v>15000</v>
      </c>
      <c r="D14" s="4">
        <f>(C14*$D$4)+C14</f>
        <v>15750</v>
      </c>
      <c r="E14" s="4">
        <f>(D14*$E$4)+D14</f>
        <v>16852.5</v>
      </c>
      <c r="F14" s="4">
        <f>(E14*$F$4)+E14</f>
        <v>17358.075000000001</v>
      </c>
    </row>
    <row r="15" spans="1:6" x14ac:dyDescent="0.2">
      <c r="A15" s="1"/>
      <c r="B15" s="1" t="s">
        <v>14</v>
      </c>
      <c r="C15" s="4">
        <v>5000</v>
      </c>
      <c r="D15" s="4">
        <f>(C15*$D$4)+C15</f>
        <v>5250</v>
      </c>
      <c r="E15" s="4">
        <f>(D15*$E$4)+D15</f>
        <v>5617.5</v>
      </c>
      <c r="F15" s="4">
        <f>(E15*$F$4)+E15</f>
        <v>5786.0249999999996</v>
      </c>
    </row>
    <row r="16" spans="1:6" x14ac:dyDescent="0.2">
      <c r="A16" s="1"/>
      <c r="B16" s="1"/>
      <c r="C16" s="4"/>
      <c r="D16" s="4"/>
      <c r="E16" s="4"/>
      <c r="F16" s="4"/>
    </row>
    <row r="17" spans="1:6" x14ac:dyDescent="0.2">
      <c r="A17" s="1"/>
      <c r="B17" s="1" t="s">
        <v>15</v>
      </c>
      <c r="C17" s="4">
        <f>SUM(C12:C16)</f>
        <v>68000</v>
      </c>
      <c r="D17" s="4">
        <f>SUM(D12:D16)</f>
        <v>71400</v>
      </c>
      <c r="E17" s="4">
        <f>SUM(E12:E16)</f>
        <v>76398</v>
      </c>
      <c r="F17" s="4">
        <f>SUM(F12:F16)</f>
        <v>78689.939999999988</v>
      </c>
    </row>
    <row r="18" spans="1:6" x14ac:dyDescent="0.2">
      <c r="A18" s="1"/>
      <c r="B18" s="1" t="s">
        <v>16</v>
      </c>
      <c r="C18" s="4">
        <f>C10-C17</f>
        <v>114000</v>
      </c>
      <c r="D18" s="4">
        <f>D10-D17</f>
        <v>119700</v>
      </c>
      <c r="E18" s="4">
        <f>E10-E17</f>
        <v>128079</v>
      </c>
      <c r="F18" s="4">
        <f>F10-F17</f>
        <v>131921.37</v>
      </c>
    </row>
    <row r="19" spans="1:6" x14ac:dyDescent="0.2">
      <c r="A19" s="1"/>
      <c r="B19" s="1" t="s">
        <v>17</v>
      </c>
      <c r="C19" s="4">
        <f>C17/C10</f>
        <v>0.37362637362637363</v>
      </c>
      <c r="D19" s="4">
        <f>D17/D10</f>
        <v>0.37362637362637363</v>
      </c>
      <c r="E19" s="4">
        <f>E17/E10</f>
        <v>0.37362637362637363</v>
      </c>
      <c r="F19" s="4">
        <f>F17/F10</f>
        <v>0.37362637362637358</v>
      </c>
    </row>
  </sheetData>
  <phoneticPr fontId="0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F20"/>
  <sheetViews>
    <sheetView workbookViewId="0">
      <selection activeCell="H14" sqref="H14"/>
    </sheetView>
  </sheetViews>
  <sheetFormatPr defaultRowHeight="12.75" x14ac:dyDescent="0.2"/>
  <cols>
    <col min="1" max="1" width="13.85546875" customWidth="1"/>
    <col min="2" max="2" width="21.85546875" bestFit="1" customWidth="1"/>
    <col min="3" max="3" width="12" bestFit="1" customWidth="1"/>
  </cols>
  <sheetData>
    <row r="1" spans="1:6" x14ac:dyDescent="0.2">
      <c r="B1" s="1" t="s">
        <v>18</v>
      </c>
      <c r="C1" s="1"/>
      <c r="D1" s="1"/>
      <c r="E1" s="1"/>
    </row>
    <row r="2" spans="1:6" x14ac:dyDescent="0.2">
      <c r="A2" s="1"/>
      <c r="B2" s="1"/>
      <c r="C2" s="1"/>
      <c r="D2" s="1"/>
      <c r="E2" s="1"/>
    </row>
    <row r="3" spans="1:6" x14ac:dyDescent="0.2"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</row>
    <row r="4" spans="1:6" x14ac:dyDescent="0.2">
      <c r="B4" s="1" t="s">
        <v>6</v>
      </c>
      <c r="C4" s="1"/>
      <c r="D4" s="2">
        <v>0.05</v>
      </c>
      <c r="E4" s="2">
        <v>7.0000000000000007E-2</v>
      </c>
      <c r="F4" s="2">
        <v>0.03</v>
      </c>
    </row>
    <row r="5" spans="1:6" x14ac:dyDescent="0.2">
      <c r="B5" s="1"/>
      <c r="C5" s="1"/>
      <c r="D5" s="2"/>
      <c r="E5" s="2"/>
      <c r="F5" s="2"/>
    </row>
    <row r="6" spans="1:6" x14ac:dyDescent="0.2">
      <c r="B6" s="1" t="s">
        <v>7</v>
      </c>
      <c r="C6" s="1">
        <v>50000</v>
      </c>
      <c r="D6" s="1">
        <f>C6*$D$4+C6</f>
        <v>52500</v>
      </c>
      <c r="E6" s="1">
        <f>D6*$E$4+D6</f>
        <v>56175</v>
      </c>
      <c r="F6" s="1">
        <f>E6*$F$4+E6</f>
        <v>57860.25</v>
      </c>
    </row>
    <row r="7" spans="1:6" x14ac:dyDescent="0.2">
      <c r="B7" s="1" t="s">
        <v>8</v>
      </c>
      <c r="C7" s="1">
        <v>120000</v>
      </c>
      <c r="D7" s="1">
        <f>C7*$D$4+C7</f>
        <v>126000</v>
      </c>
      <c r="E7" s="1">
        <f>D7*$E$4+D7</f>
        <v>134820</v>
      </c>
      <c r="F7" s="1">
        <f>E7*$F$4+E7</f>
        <v>138864.6</v>
      </c>
    </row>
    <row r="8" spans="1:6" x14ac:dyDescent="0.2">
      <c r="B8" s="1" t="s">
        <v>9</v>
      </c>
      <c r="C8" s="1">
        <v>12000</v>
      </c>
      <c r="D8" s="1">
        <f>C8*$D$4+C8</f>
        <v>12600</v>
      </c>
      <c r="E8" s="1">
        <f>D8*$E$4+D8</f>
        <v>13482</v>
      </c>
      <c r="F8" s="1">
        <f>E8*$F$4+E8</f>
        <v>13886.46</v>
      </c>
    </row>
    <row r="9" spans="1:6" x14ac:dyDescent="0.2">
      <c r="B9" s="1"/>
      <c r="C9" s="1"/>
      <c r="D9" s="1"/>
      <c r="E9" s="1"/>
      <c r="F9" s="1"/>
    </row>
    <row r="10" spans="1:6" x14ac:dyDescent="0.2">
      <c r="B10" s="1" t="s">
        <v>10</v>
      </c>
      <c r="C10" s="1">
        <f>SUM(C6:C9)</f>
        <v>182000</v>
      </c>
      <c r="D10" s="1">
        <f>SUM(D6:D9)</f>
        <v>191100</v>
      </c>
      <c r="E10" s="1">
        <f>SUM(E6:E9)</f>
        <v>204477</v>
      </c>
      <c r="F10" s="1">
        <f>SUM(F6:F9)</f>
        <v>210611.31</v>
      </c>
    </row>
    <row r="11" spans="1:6" x14ac:dyDescent="0.2">
      <c r="B11" s="1"/>
      <c r="C11" s="1"/>
      <c r="D11" s="1"/>
      <c r="E11" s="1"/>
      <c r="F11" s="1"/>
    </row>
    <row r="12" spans="1:6" x14ac:dyDescent="0.2">
      <c r="B12" s="1" t="s">
        <v>11</v>
      </c>
      <c r="C12" s="1">
        <v>36000</v>
      </c>
      <c r="D12" s="1">
        <f>C12*$D$4+C12</f>
        <v>37800</v>
      </c>
      <c r="E12" s="1">
        <f>D12*$E$4+D12</f>
        <v>40446</v>
      </c>
      <c r="F12" s="1">
        <f>E12*$F$4+E12</f>
        <v>41659.379999999997</v>
      </c>
    </row>
    <row r="13" spans="1:6" x14ac:dyDescent="0.2">
      <c r="B13" s="1" t="s">
        <v>12</v>
      </c>
      <c r="C13" s="1">
        <v>12000</v>
      </c>
      <c r="D13" s="1">
        <f>C13*$D$4+C13</f>
        <v>12600</v>
      </c>
      <c r="E13" s="1">
        <f>D13*$E$4+D13</f>
        <v>13482</v>
      </c>
      <c r="F13" s="1">
        <f>E13*$F$4+E13</f>
        <v>13886.46</v>
      </c>
    </row>
    <row r="14" spans="1:6" x14ac:dyDescent="0.2">
      <c r="B14" s="1" t="s">
        <v>13</v>
      </c>
      <c r="C14" s="1">
        <v>15000</v>
      </c>
      <c r="D14" s="1">
        <f>C14*$D$4+C14</f>
        <v>15750</v>
      </c>
      <c r="E14" s="1">
        <f>D14*$E$4+D14</f>
        <v>16852.5</v>
      </c>
      <c r="F14" s="1">
        <f>E14*$F$4+E14</f>
        <v>17358.075000000001</v>
      </c>
    </row>
    <row r="15" spans="1:6" x14ac:dyDescent="0.2">
      <c r="B15" s="1" t="s">
        <v>14</v>
      </c>
      <c r="C15" s="1">
        <v>5000</v>
      </c>
      <c r="D15" s="1">
        <f>C15*$D$4+C15</f>
        <v>5250</v>
      </c>
      <c r="E15" s="1">
        <f>D15*$E$4+D15</f>
        <v>5617.5</v>
      </c>
      <c r="F15" s="1">
        <f>E15*$F$4+E15</f>
        <v>5786.0249999999996</v>
      </c>
    </row>
    <row r="16" spans="1:6" x14ac:dyDescent="0.2">
      <c r="B16" s="1"/>
      <c r="C16" s="1"/>
      <c r="D16" s="1"/>
      <c r="E16" s="1"/>
      <c r="F16" s="1"/>
    </row>
    <row r="17" spans="2:6" x14ac:dyDescent="0.2">
      <c r="B17" s="1" t="s">
        <v>15</v>
      </c>
      <c r="C17" s="1">
        <f>SUM(C12:C16)</f>
        <v>68000</v>
      </c>
      <c r="D17" s="1">
        <f>SUM(D12:D16)</f>
        <v>71400</v>
      </c>
      <c r="E17" s="1">
        <f>SUM(E12:E16)</f>
        <v>76398</v>
      </c>
      <c r="F17" s="1">
        <f>SUM(F12:F16)</f>
        <v>78689.939999999988</v>
      </c>
    </row>
    <row r="18" spans="2:6" x14ac:dyDescent="0.2">
      <c r="C18" s="1"/>
      <c r="D18" s="1"/>
      <c r="E18" s="1"/>
      <c r="F18" s="1"/>
    </row>
    <row r="19" spans="2:6" x14ac:dyDescent="0.2">
      <c r="B19" s="1" t="s">
        <v>16</v>
      </c>
      <c r="C19" s="1">
        <f>C10-C17</f>
        <v>114000</v>
      </c>
      <c r="D19" s="1">
        <f>D10-D17</f>
        <v>119700</v>
      </c>
      <c r="E19" s="1">
        <f>E10-E17</f>
        <v>128079</v>
      </c>
      <c r="F19" s="1">
        <f>F10-F17</f>
        <v>131921.37</v>
      </c>
    </row>
    <row r="20" spans="2:6" x14ac:dyDescent="0.2">
      <c r="B20" s="1" t="s">
        <v>17</v>
      </c>
      <c r="C20" s="1" t="s">
        <v>19</v>
      </c>
      <c r="D20" s="1">
        <f>D17/D10</f>
        <v>0.37362637362637363</v>
      </c>
      <c r="E20" s="1">
        <f>E17/E10</f>
        <v>0.37362637362637363</v>
      </c>
      <c r="F20" s="1">
        <f>F17/F10</f>
        <v>0.37362637362637358</v>
      </c>
    </row>
  </sheetData>
  <phoneticPr fontId="0" type="noConversion"/>
  <pageMargins left="0.78740157499999996" right="0.78740157499999996" top="0.984251969" bottom="0.984251969" header="0.49212598499999999" footer="0.49212598499999999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CGD INFORMATICA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CGD INFORMATICA</dc:creator>
  <cp:lastModifiedBy>Aluno</cp:lastModifiedBy>
  <dcterms:created xsi:type="dcterms:W3CDTF">2000-01-15T14:59:31Z</dcterms:created>
  <dcterms:modified xsi:type="dcterms:W3CDTF">2023-09-12T15:50:43Z</dcterms:modified>
</cp:coreProperties>
</file>